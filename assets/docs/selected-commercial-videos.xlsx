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ContentType="application/vnd.openxmlformats-officedocument.drawingml.chart+xml" PartName="/xl/charts/chart4.xml"/>
  <Override ContentType="application/vnd.openxmlformats-officedocument.spreadsheetml.worksheet+xml" PartName="/xl/worksheets/sheet7.xml"/>
  <Override ContentType="application/vnd.openxmlformats-officedocument.spreadsheetml.worksheet+xml" PartName="/xl/worksheets/sheet9.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drawingml.chart+xml" PartName="/xl/charts/char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  <Override ContentType="application/vnd.openxmlformats-officedocument.spreadsheetml.worksheet+xml" PartName="/xl/worksheets/sheet3.xml"/>
  <Override ContentType="application/vnd.openxmlformats-officedocument.spreadsheetml.worksheet+xml" PartName="/xl/worksheets/sheet13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spreadsheetml.worksheet+xml" PartName="/xl/worksheets/sheet12.xml"/>
  <Override ContentType="application/vnd.openxmlformats-officedocument.spreadsheetml.worksheet+xml" PartName="/xl/worksheets/sheet5.xml"/>
  <Override ContentType="application/vnd.openxmlformats-officedocument.drawing+xml" PartName="/xl/drawings/drawing1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drawingml.chart+xml" PartName="/xl/charts/chart1.xml"/>
  <Override ContentType="application/vnd.openxmlformats-officedocument.spreadsheetml.worksheet+xml" PartName="/xl/worksheets/sheet11.xml"/>
  <Override ContentType="application/vnd.openxmlformats-officedocument.drawingml.chart+xml" PartName="/xl/charts/chart3.xml"/>
  <Override ContentType="application/vnd.openxmlformats-officedocument.drawing+xml" PartName="/xl/drawings/drawing13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平台总数据" sheetId="1" r:id="rId3"/>
    <sheet name="热点视频" sheetId="2" r:id="rId4"/>
    <sheet name="视频部视频" sheetId="3" r:id="rId5" state="hidden"/>
    <sheet name="邦看财经" sheetId="4" r:id="rId6" state="hidden"/>
    <sheet name="视频平台总数据" sheetId="5" r:id="rId7" state="hidden"/>
    <sheet name="工作表4" sheetId="6" r:id="rId8"/>
    <sheet name="工作表7" sheetId="7" r:id="rId9" state="hidden"/>
    <sheet name="工作表8" sheetId="8" r:id="rId10" state="hidden"/>
    <sheet name="工作表9" sheetId="9" r:id="rId11" state="hidden"/>
    <sheet name="工作表10" sheetId="10" r:id="rId12"/>
    <sheet name="视频数据" sheetId="11" r:id="rId13"/>
    <sheet name="数据对比" sheetId="12" r:id="rId14"/>
    <sheet name="工作表13" sheetId="13" r:id="rId15"/>
  </sheets>
  <calcPr calcId="0" iterate="0"/>
</workbook>
</file>

<file path=xl/sharedStrings.xml><?xml version="1.0" encoding="utf-8"?>
<sst xmlns="http://schemas.openxmlformats.org/spreadsheetml/2006/main">
  <si>
    <t>从开始制作热点视频时间点开始统计的总数据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</si>
  <si>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</si>
  <si>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</si>
  <si>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</si>
  <si>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</si>
  <si>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</si>
  <si>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</si>
  <si>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</si>
  <si>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</si>
  <si>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</si>
  <si>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</si>
  <si>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2022.Q4</t>
  </si>
  <si>
    <t>播放总数</t>
  </si>
  <si>
    <t>互动总数</t>
  </si>
  <si>
    <t>粉丝净增</t>
  </si>
  <si>
    <t>2022.Q3</t>
  </si>
  <si>
    <t>播放总数</t>
  </si>
  <si>
    <t>互动总数</t>
  </si>
  <si>
    <t>粉丝净增</t>
  </si>
  <si>
    <t>2022.Q2</t>
  </si>
  <si>
    <t>播放总数</t>
  </si>
  <si>
    <t>互动总数</t>
  </si>
  <si>
    <t>粉丝净增</t>
  </si>
  <si>
    <t>2023.Q1</t>
  </si>
  <si>
    <t>播放总数</t>
  </si>
  <si>
    <t>互动总数</t>
  </si>
  <si>
    <t>粉丝净增</t>
  </si>
  <si>
    <t>2023.Q2</t>
  </si>
  <si>
    <t>播放总数</t>
  </si>
  <si>
    <t>互动总数</t>
  </si>
  <si>
    <t>粉丝净增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</si>
  <si>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</si>
  <si>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</si>
  <si>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</si>
  <si>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</si>
  <si>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</si>
  <si>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</si>
  <si>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</si>
  <si>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</si>
  <si>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</si>
  <si>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</si>
  <si>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2023.Q3</t>
  </si>
  <si>
    <t>播放总数</t>
  </si>
  <si>
    <t>互动总数</t>
  </si>
  <si>
    <t>粉丝净增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</si>
  <si>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</si>
  <si>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</si>
  <si>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</si>
  <si>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</si>
  <si>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</si>
  <si>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</si>
  <si>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</si>
  <si>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</si>
  <si>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</si>
  <si>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#VALUE!</t>
  </si>
  <si>
    <t>2023.Q4</t>
  </si>
  <si>
    <t>播放总数</t>
  </si>
  <si>
    <t>互动总数</t>
  </si>
  <si>
    <t>粉丝净增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</si>
  <si>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</si>
  <si>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</si>
  <si>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</si>
  <si>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</si>
  <si>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</si>
  <si>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</si>
  <si>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</si>
  <si>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</si>
  <si>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</si>
  <si>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</si>
  <si>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 xml:space="preserve">2024Q1 (1-3月）</t>
  </si>
  <si>
    <t>播放总数</t>
  </si>
  <si>
    <t>粉丝净增</t>
  </si>
  <si>
    <t>2024Q2(4-6月)</t>
  </si>
  <si>
    <t>播放总数</t>
  </si>
  <si>
    <t>粉丝净增</t>
  </si>
  <si>
    <t>2024Q3(7-9月)</t>
  </si>
  <si>
    <t>播放总数</t>
  </si>
  <si>
    <t>粉丝净增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</si>
  <si>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</si>
  <si>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</si>
  <si>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</si>
  <si>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</si>
  <si>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</si>
  <si>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</si>
  <si>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</si>
  <si>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</si>
  <si>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</si>
  <si>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</si>
  <si>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</si>
  <si>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1.3~1.9</t>
  </si>
  <si>
    <t>播放总数</t>
  </si>
  <si>
    <t>粉丝总数</t>
  </si>
  <si>
    <t>12.27-1.2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</si>
  <si>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</si>
  <si>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</si>
  <si>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</si>
  <si>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</si>
  <si>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</si>
  <si>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</si>
  <si>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</si>
  <si>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</si>
  <si>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</si>
  <si>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</si>
  <si>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</si>
  <si>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</si>
  <si>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11.08-11.14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</si>
  <si>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</si>
  <si>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</si>
  <si>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</si>
  <si>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</si>
  <si>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</si>
  <si>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</si>
  <si>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</si>
  <si>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</si>
  <si>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</si>
  <si>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</si>
  <si>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</si>
  <si>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</si>
  <si>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11.01-11.07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</si>
  <si>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</si>
  <si>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</si>
  <si>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</si>
  <si>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</si>
  <si>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</si>
  <si>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</si>
  <si>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</si>
  <si>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</si>
  <si>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</si>
  <si>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</si>
  <si>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</si>
  <si>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</si>
  <si>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10.25-10.31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</si>
  <si>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</si>
  <si>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</si>
  <si>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</si>
  <si>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</si>
  <si>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</si>
  <si>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</si>
  <si>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</si>
  <si>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</si>
  <si>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</si>
  <si>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</si>
  <si>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</si>
  <si>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</si>
  <si>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10.18-10.24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</si>
  <si>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</si>
  <si>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</si>
  <si>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</si>
  <si>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</si>
  <si>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</si>
  <si>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</si>
  <si>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</si>
  <si>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</si>
  <si>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</si>
  <si>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</si>
  <si>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</si>
  <si>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</si>
  <si>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10.11-10.17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</si>
  <si>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</si>
  <si>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</si>
  <si>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</si>
  <si>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</si>
  <si>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</si>
  <si>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</si>
  <si>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</si>
  <si>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</si>
  <si>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</si>
  <si>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</si>
  <si>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</si>
  <si>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</si>
  <si>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9.6-10.10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</si>
  <si>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</si>
  <si>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</si>
  <si>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</si>
  <si>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</si>
  <si>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</si>
  <si>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</si>
  <si>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</si>
  <si>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</si>
  <si>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</si>
  <si>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</si>
  <si>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</si>
  <si>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</si>
  <si>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8.30-9.5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</si>
  <si>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</si>
  <si>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</si>
  <si>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</si>
  <si>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</si>
  <si>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</si>
  <si>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</si>
  <si>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</si>
  <si>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</si>
  <si>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</si>
  <si>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</si>
  <si>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</si>
  <si>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</si>
  <si>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8.9-8.29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</si>
  <si>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</si>
  <si>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</si>
  <si>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</si>
  <si>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</si>
  <si>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</si>
  <si>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</si>
  <si>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</si>
  <si>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</si>
  <si>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</si>
  <si>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</si>
  <si>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</si>
  <si>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</si>
  <si>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8.2-8.8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</si>
  <si>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</si>
  <si>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</si>
  <si>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</si>
  <si>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</si>
  <si>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</si>
  <si>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</si>
  <si>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</si>
  <si>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</si>
  <si>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</si>
  <si>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</si>
  <si>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</si>
  <si>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</si>
  <si>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7.26-8.1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</si>
  <si>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</si>
  <si>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</si>
  <si>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</si>
  <si>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</si>
  <si>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</si>
  <si>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</si>
  <si>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</si>
  <si>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</si>
  <si>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</si>
  <si>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</si>
  <si>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</si>
  <si>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</si>
  <si>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7.12-7.25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</si>
  <si>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</si>
  <si>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</si>
  <si>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</si>
  <si>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</si>
  <si>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</si>
  <si>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</si>
  <si>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</si>
  <si>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</si>
  <si>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</si>
  <si>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</si>
  <si>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</si>
  <si>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</si>
  <si>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7.5-7.11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</si>
  <si>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</si>
  <si>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</si>
  <si>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</si>
  <si>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</si>
  <si>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</si>
  <si>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</si>
  <si>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</si>
  <si>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</si>
  <si>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</si>
  <si>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</si>
  <si>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</si>
  <si>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</si>
  <si>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6.28-7.4</t>
  </si>
  <si>
    <t>播放总数</t>
  </si>
  <si>
    <t>粉丝总数</t>
  </si>
  <si>
    <t>17.5w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</si>
  <si>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</si>
  <si>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</si>
  <si>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</si>
  <si>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</si>
  <si>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</si>
  <si>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</si>
  <si>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</si>
  <si>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</si>
  <si>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</si>
  <si>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</si>
  <si>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6.21-6.27</t>
  </si>
  <si>
    <t>播放总数</t>
  </si>
  <si>
    <t>粉丝总数</t>
  </si>
  <si>
    <t>17.5w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</si>
  <si>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</si>
  <si>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</si>
  <si>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</si>
  <si>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</si>
  <si>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</si>
  <si>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</si>
  <si>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</si>
  <si>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</si>
  <si>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</si>
  <si>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</si>
  <si>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6.14-6.20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</si>
  <si>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</si>
  <si>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</si>
  <si>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</si>
  <si>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</si>
  <si>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</si>
  <si>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</si>
  <si>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</si>
  <si>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</si>
  <si>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</si>
  <si>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</si>
  <si>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</si>
  <si>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</si>
  <si>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6.7-6.13</t>
  </si>
  <si>
    <t>播放总数</t>
  </si>
  <si>
    <t>粉丝总数</t>
  </si>
  <si>
    <t>17.5w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</si>
  <si>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</si>
  <si>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</si>
  <si>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</si>
  <si>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</si>
  <si>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</si>
  <si>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</si>
  <si>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</si>
  <si>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</si>
  <si>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</si>
  <si>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</si>
  <si>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5.31-6.6</t>
  </si>
  <si>
    <t>播放总数</t>
  </si>
  <si>
    <t>粉丝总数</t>
  </si>
  <si>
    <t>17.5w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</si>
  <si>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</si>
  <si>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</si>
  <si>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</si>
  <si>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</si>
  <si>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</si>
  <si>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</si>
  <si>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</si>
  <si>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</si>
  <si>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</si>
  <si>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</si>
  <si>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5.17-5.30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</si>
  <si>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</si>
  <si>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</si>
  <si>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</si>
  <si>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</si>
  <si>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</si>
  <si>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</si>
  <si>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</si>
  <si>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</si>
  <si>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</si>
  <si>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</si>
  <si>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</si>
  <si>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</si>
  <si>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5.10-5.16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</si>
  <si>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</si>
  <si>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</si>
  <si>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</si>
  <si>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</si>
  <si>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</si>
  <si>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</si>
  <si>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</si>
  <si>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</si>
  <si>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</si>
  <si>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</si>
  <si>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</si>
  <si>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</si>
  <si>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5.3-5.9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</si>
  <si>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</si>
  <si>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</si>
  <si>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</si>
  <si>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</si>
  <si>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</si>
  <si>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</si>
  <si>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</si>
  <si>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</si>
  <si>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</si>
  <si>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</si>
  <si>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</si>
  <si>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</si>
  <si>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4.26-5.2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</si>
  <si>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</si>
  <si>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</si>
  <si>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</si>
  <si>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</si>
  <si>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</si>
  <si>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</si>
  <si>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</si>
  <si>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</si>
  <si>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</si>
  <si>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</si>
  <si>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</si>
  <si>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</si>
  <si>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4.19-4.25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</si>
  <si>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</si>
  <si>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</si>
  <si>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</si>
  <si>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</si>
  <si>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</si>
  <si>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</si>
  <si>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</si>
  <si>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</si>
  <si>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</si>
  <si>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</si>
  <si>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</si>
  <si>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</si>
  <si>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4.12-4.18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</si>
  <si>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</si>
  <si>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</si>
  <si>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</si>
  <si>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</si>
  <si>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</si>
  <si>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</si>
  <si>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</si>
  <si>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</si>
  <si>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</si>
  <si>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</si>
  <si>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</si>
  <si>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</si>
  <si>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4.6-4.11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</si>
  <si>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</si>
  <si>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</si>
  <si>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</si>
  <si>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</si>
  <si>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</si>
  <si>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</si>
  <si>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</si>
  <si>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</si>
  <si>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</si>
  <si>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</si>
  <si>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</si>
  <si>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</si>
  <si>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3.29-4.5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</si>
  <si>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</si>
  <si>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</si>
  <si>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</si>
  <si>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</si>
  <si>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</si>
  <si>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</si>
  <si>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</si>
  <si>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</si>
  <si>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</si>
  <si>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</si>
  <si>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</si>
  <si>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</si>
  <si>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3.22-3.28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</si>
  <si>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</si>
  <si>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</si>
  <si>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</si>
  <si>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</si>
  <si>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</si>
  <si>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</si>
  <si>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</si>
  <si>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</si>
  <si>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</si>
  <si>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</si>
  <si>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</si>
  <si>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</si>
  <si>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3.15-3.21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</si>
  <si>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</si>
  <si>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</si>
  <si>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</si>
  <si>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</si>
  <si>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</si>
  <si>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</si>
  <si>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</si>
  <si>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</si>
  <si>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</si>
  <si>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</si>
  <si>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</si>
  <si>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</si>
  <si>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3.8-3.14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</si>
  <si>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</si>
  <si>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</si>
  <si>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</si>
  <si>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</si>
  <si>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</si>
  <si>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</si>
  <si>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</si>
  <si>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</si>
  <si>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</si>
  <si>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</si>
  <si>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</si>
  <si>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</si>
  <si>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3.1-3.7</t>
  </si>
  <si>
    <t>播放总数</t>
  </si>
  <si>
    <t>粉丝总数</t>
  </si>
  <si>
    <t>100w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</si>
  <si>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</si>
  <si>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</si>
  <si>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</si>
  <si>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</si>
  <si>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</si>
  <si>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</si>
  <si>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</si>
  <si>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</si>
  <si>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</si>
  <si>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</si>
  <si>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2.23-2.29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</si>
  <si>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</si>
  <si>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</si>
  <si>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</si>
  <si>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</si>
  <si>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</si>
  <si>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</si>
  <si>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</si>
  <si>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</si>
  <si>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</si>
  <si>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</si>
  <si>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</si>
  <si>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</si>
  <si>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2.16-2.22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</si>
  <si>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</si>
  <si>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</si>
  <si>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</si>
  <si>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</si>
  <si>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</si>
  <si>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</si>
  <si>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</si>
  <si>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</si>
  <si>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</si>
  <si>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</si>
  <si>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</si>
  <si>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</si>
  <si>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2.9-2.15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</si>
  <si>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</si>
  <si>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</si>
  <si>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</si>
  <si>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</si>
  <si>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</si>
  <si>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</si>
  <si>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</si>
  <si>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</si>
  <si>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</si>
  <si>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</si>
  <si>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</si>
  <si>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</si>
  <si>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2.2-2.8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</si>
  <si>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</si>
  <si>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</si>
  <si>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</si>
  <si>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</si>
  <si>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</si>
  <si>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</si>
  <si>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</si>
  <si>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</si>
  <si>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</si>
  <si>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</si>
  <si>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</si>
  <si>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</si>
  <si>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1.26-2.1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</si>
  <si>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</si>
  <si>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</si>
  <si>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</si>
  <si>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</si>
  <si>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</si>
  <si>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</si>
  <si>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</si>
  <si>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</si>
  <si>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</si>
  <si>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</si>
  <si>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</si>
  <si>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</si>
  <si>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1.19-1.25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</si>
  <si>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</si>
  <si>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</si>
  <si>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</si>
  <si>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</si>
  <si>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</si>
  <si>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</si>
  <si>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</si>
  <si>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</si>
  <si>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</si>
  <si>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</si>
  <si>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</si>
  <si>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</si>
  <si>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1.12-1.18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</si>
  <si>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</si>
  <si>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</si>
  <si>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</si>
  <si>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</si>
  <si>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</si>
  <si>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</si>
  <si>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</si>
  <si>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</si>
  <si>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</si>
  <si>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</si>
  <si>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</si>
  <si>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</si>
  <si>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1.5-1.11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</si>
  <si>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</si>
  <si>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</si>
  <si>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</si>
  <si>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</si>
  <si>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</si>
  <si>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</si>
  <si>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</si>
  <si>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</si>
  <si>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</si>
  <si>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</si>
  <si>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</si>
  <si>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</si>
  <si>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12.29-1.4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</si>
  <si>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</si>
  <si>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</si>
  <si>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</si>
  <si>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</si>
  <si>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</si>
  <si>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</si>
  <si>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</si>
  <si>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</si>
  <si>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</si>
  <si>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</si>
  <si>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</si>
  <si>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</si>
  <si>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12.22-12.28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</si>
  <si>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</si>
  <si>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</si>
  <si>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</si>
  <si>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</si>
  <si>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</si>
  <si>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</si>
  <si>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</si>
  <si>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</si>
  <si>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</si>
  <si>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</si>
  <si>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</si>
  <si>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</si>
  <si>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12.15-12.21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</si>
  <si>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</si>
  <si>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</si>
  <si>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</si>
  <si>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</si>
  <si>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</si>
  <si>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</si>
  <si>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</si>
  <si>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</si>
  <si>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</si>
  <si>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</si>
  <si>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</si>
  <si>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</si>
  <si>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12.8-12.14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</si>
  <si>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</si>
  <si>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</si>
  <si>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</si>
  <si>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</si>
  <si>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</si>
  <si>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</si>
  <si>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</si>
  <si>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</si>
  <si>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</si>
  <si>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</si>
  <si>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</si>
  <si>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</si>
  <si>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12.1-12.7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</si>
  <si>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</si>
  <si>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</si>
  <si>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</si>
  <si>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</si>
  <si>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</si>
  <si>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</si>
  <si>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</si>
  <si>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</si>
  <si>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</si>
  <si>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</si>
  <si>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</si>
  <si>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</si>
  <si>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11.24-11.30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</si>
  <si>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</si>
  <si>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</si>
  <si>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</si>
  <si>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</si>
  <si>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</si>
  <si>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</si>
  <si>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</si>
  <si>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</si>
  <si>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</si>
  <si>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</si>
  <si>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</si>
  <si>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</si>
  <si>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11.17-11.23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</si>
  <si>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</si>
  <si>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</si>
  <si>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</si>
  <si>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</si>
  <si>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</si>
  <si>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</si>
  <si>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</si>
  <si>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</si>
  <si>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</si>
  <si>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</si>
  <si>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</si>
  <si>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</si>
  <si>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11.10-11.16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</si>
  <si>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</si>
  <si>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</si>
  <si>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</si>
  <si>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</si>
  <si>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</si>
  <si>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</si>
  <si>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</si>
  <si>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</si>
  <si>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</si>
  <si>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</si>
  <si>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</si>
  <si>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</si>
  <si>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11.3-11.9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</si>
  <si>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</si>
  <si>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</si>
  <si>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</si>
  <si>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</si>
  <si>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</si>
  <si>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</si>
  <si>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</si>
  <si>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</si>
  <si>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</si>
  <si>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</si>
  <si>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</si>
  <si>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</si>
  <si>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10.27-11.2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</si>
  <si>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</si>
  <si>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</si>
  <si>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</si>
  <si>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</si>
  <si>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</si>
  <si>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</si>
  <si>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</si>
  <si>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</si>
  <si>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</si>
  <si>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</si>
  <si>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</si>
  <si>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</si>
  <si>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10.20-10.26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</si>
  <si>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</si>
  <si>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</si>
  <si>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</si>
  <si>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</si>
  <si>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</si>
  <si>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</si>
  <si>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</si>
  <si>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</si>
  <si>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</si>
  <si>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</si>
  <si>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</si>
  <si>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</si>
  <si>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10.13-10.19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</si>
  <si>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</si>
  <si>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</si>
  <si>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</si>
  <si>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</si>
  <si>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</si>
  <si>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</si>
  <si>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</si>
  <si>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</si>
  <si>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</si>
  <si>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</si>
  <si>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</si>
  <si>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</si>
  <si>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10.6-10.12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</si>
  <si>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</si>
  <si>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</si>
  <si>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</si>
  <si>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</si>
  <si>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</si>
  <si>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</si>
  <si>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</si>
  <si>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</si>
  <si>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</si>
  <si>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</si>
  <si>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</si>
  <si>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</si>
  <si>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9.29-10.5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</si>
  <si>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</si>
  <si>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</si>
  <si>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</si>
  <si>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</si>
  <si>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</si>
  <si>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</si>
  <si>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</si>
  <si>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</si>
  <si>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</si>
  <si>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</si>
  <si>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</si>
  <si>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</si>
  <si>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9.22-9.28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</si>
  <si>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</si>
  <si>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</si>
  <si>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</si>
  <si>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</si>
  <si>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</si>
  <si>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</si>
  <si>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</si>
  <si>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</si>
  <si>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</si>
  <si>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</si>
  <si>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</si>
  <si>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</si>
  <si>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9.15-9.21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</si>
  <si>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</si>
  <si>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</si>
  <si>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</si>
  <si>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</si>
  <si>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</si>
  <si>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</si>
  <si>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</si>
  <si>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</si>
  <si>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</si>
  <si>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</si>
  <si>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</si>
  <si>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</si>
  <si>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9.8-9.14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</si>
  <si>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</si>
  <si>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</si>
  <si>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</si>
  <si>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</si>
  <si>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</si>
  <si>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</si>
  <si>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</si>
  <si>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</si>
  <si>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</si>
  <si>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</si>
  <si>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</si>
  <si>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</si>
  <si>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9.1-9.7</t>
  </si>
  <si>
    <t>播放总数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</si>
  <si>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</si>
  <si>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</si>
  <si>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</si>
  <si>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</si>
  <si>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</si>
  <si>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</si>
  <si>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</si>
  <si>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</si>
  <si>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</si>
  <si>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</si>
  <si>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</si>
  <si>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8.25-8.31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</si>
  <si>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</si>
  <si>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</si>
  <si>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</si>
  <si>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</si>
  <si>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</si>
  <si>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</si>
  <si>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</si>
  <si>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</si>
  <si>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</si>
  <si>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</si>
  <si>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</si>
  <si>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</si>
  <si>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</si>
  <si>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8.18-8.24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</si>
  <si>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</si>
  <si>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</si>
  <si>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</si>
  <si>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</si>
  <si>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</si>
  <si>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</si>
  <si>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</si>
  <si>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</si>
  <si>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</si>
  <si>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</si>
  <si>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</si>
  <si>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</si>
  <si>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</si>
  <si>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8.11-8.17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</si>
  <si>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</si>
  <si>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</si>
  <si>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</si>
  <si>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</si>
  <si>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</si>
  <si>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</si>
  <si>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</si>
  <si>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</si>
  <si>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</si>
  <si>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</si>
  <si>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</si>
  <si>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</si>
  <si>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</si>
  <si>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8.03-8.10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</si>
  <si>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</si>
  <si>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</si>
  <si>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</si>
  <si>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</si>
  <si>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</si>
  <si>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</si>
  <si>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</si>
  <si>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</si>
  <si>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</si>
  <si>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</si>
  <si>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</si>
  <si>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</si>
  <si>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</si>
  <si>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7.28-8.03</t>
  </si>
  <si>
    <t>播放总数</t>
  </si>
  <si>
    <t>互动总数</t>
  </si>
  <si>
    <t>粉丝总数</t>
  </si>
  <si>
    <t>27.6w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</si>
  <si>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</si>
  <si>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</si>
  <si>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</si>
  <si>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</si>
  <si>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</si>
  <si>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</si>
  <si>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</si>
  <si>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</si>
  <si>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</si>
  <si>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</si>
  <si>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7.21-7.27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</si>
  <si>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</si>
  <si>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</si>
  <si>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</si>
  <si>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</si>
  <si>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</si>
  <si>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</si>
  <si>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</si>
  <si>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</si>
  <si>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</si>
  <si>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</si>
  <si>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</si>
  <si>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</si>
  <si>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</si>
  <si>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7.14-7.20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</si>
  <si>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</si>
  <si>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</si>
  <si>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</si>
  <si>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</si>
  <si>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</si>
  <si>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</si>
  <si>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</si>
  <si>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</si>
  <si>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</si>
  <si>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</si>
  <si>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</si>
  <si>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</si>
  <si>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</si>
  <si>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7.7-7.13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</si>
  <si>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</si>
  <si>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</si>
  <si>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</si>
  <si>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</si>
  <si>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</si>
  <si>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</si>
  <si>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</si>
  <si>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</si>
  <si>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</si>
  <si>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</si>
  <si>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</si>
  <si>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</si>
  <si>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</si>
  <si>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6.30-7.6</t>
  </si>
  <si>
    <t>播放总数</t>
  </si>
  <si>
    <t>互动总数</t>
  </si>
  <si>
    <t>粉丝总数</t>
  </si>
  <si>
    <t>27.3w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</si>
  <si>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</si>
  <si>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</si>
  <si>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</si>
  <si>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</si>
  <si>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</si>
  <si>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</si>
  <si>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</si>
  <si>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</si>
  <si>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</si>
  <si>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</si>
  <si>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6.23-6.29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</si>
  <si>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</si>
  <si>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</si>
  <si>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</si>
  <si>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</si>
  <si>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</si>
  <si>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</si>
  <si>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</si>
  <si>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</si>
  <si>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</si>
  <si>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</si>
  <si>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</si>
  <si>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</si>
  <si>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</si>
  <si>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6.16-6.22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</si>
  <si>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</si>
  <si>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</si>
  <si>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</si>
  <si>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</si>
  <si>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</si>
  <si>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</si>
  <si>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</si>
  <si>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</si>
  <si>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</si>
  <si>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</si>
  <si>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</si>
  <si>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</si>
  <si>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</si>
  <si>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6.9-6.15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</si>
  <si>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</si>
  <si>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</si>
  <si>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</si>
  <si>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</si>
  <si>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</si>
  <si>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</si>
  <si>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</si>
  <si>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</si>
  <si>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</si>
  <si>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</si>
  <si>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</si>
  <si>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</si>
  <si>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</si>
  <si>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6.2-6.8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</si>
  <si>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</si>
  <si>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</si>
  <si>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</si>
  <si>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</si>
  <si>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</si>
  <si>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</si>
  <si>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</si>
  <si>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</si>
  <si>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</si>
  <si>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</si>
  <si>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</si>
  <si>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</si>
  <si>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</si>
  <si>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5.26-6.1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</si>
  <si>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</si>
  <si>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</si>
  <si>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</si>
  <si>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</si>
  <si>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</si>
  <si>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</si>
  <si>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</si>
  <si>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</si>
  <si>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</si>
  <si>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</si>
  <si>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</si>
  <si>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</si>
  <si>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</si>
  <si>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5.19-5.25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</si>
  <si>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</si>
  <si>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</si>
  <si>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</si>
  <si>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</si>
  <si>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</si>
  <si>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</si>
  <si>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</si>
  <si>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</si>
  <si>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</si>
  <si>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</si>
  <si>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</si>
  <si>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</si>
  <si>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</si>
  <si>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5.12-5.18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</si>
  <si>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</si>
  <si>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</si>
  <si>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</si>
  <si>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</si>
  <si>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</si>
  <si>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</si>
  <si>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</si>
  <si>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</si>
  <si>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</si>
  <si>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</si>
  <si>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</si>
  <si>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</si>
  <si>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</si>
  <si>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5.05-5.11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</si>
  <si>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</si>
  <si>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</si>
  <si>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</si>
  <si>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</si>
  <si>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</si>
  <si>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</si>
  <si>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</si>
  <si>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</si>
  <si>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</si>
  <si>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</si>
  <si>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</si>
  <si>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</si>
  <si>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</si>
  <si>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4.28~5.04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</si>
  <si>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</si>
  <si>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</si>
  <si>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</si>
  <si>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</si>
  <si>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</si>
  <si>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</si>
  <si>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</si>
  <si>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</si>
  <si>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</si>
  <si>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</si>
  <si>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</si>
  <si>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</si>
  <si>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</si>
  <si>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4.21~4.27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</si>
  <si>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</si>
  <si>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</si>
  <si>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</si>
  <si>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</si>
  <si>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</si>
  <si>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</si>
  <si>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</si>
  <si>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</si>
  <si>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</si>
  <si>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</si>
  <si>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</si>
  <si>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</si>
  <si>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</si>
  <si>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4.14~4.20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</si>
  <si>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</si>
  <si>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</si>
  <si>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</si>
  <si>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</si>
  <si>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</si>
  <si>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</si>
  <si>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</si>
  <si>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</si>
  <si>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</si>
  <si>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</si>
  <si>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</si>
  <si>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</si>
  <si>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</si>
  <si>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4.7~4.13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</si>
  <si>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</si>
  <si>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</si>
  <si>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</si>
  <si>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</si>
  <si>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</si>
  <si>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</si>
  <si>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</si>
  <si>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</si>
  <si>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</si>
  <si>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</si>
  <si>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</si>
  <si>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</si>
  <si>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</si>
  <si>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3.31~4.6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</si>
  <si>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</si>
  <si>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</si>
  <si>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</si>
  <si>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</si>
  <si>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</si>
  <si>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</si>
  <si>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</si>
  <si>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</si>
  <si>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</si>
  <si>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</si>
  <si>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</si>
  <si>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</si>
  <si>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</si>
  <si>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3.24~3.30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</si>
  <si>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</si>
  <si>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</si>
  <si>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</si>
  <si>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</si>
  <si>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</si>
  <si>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</si>
  <si>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</si>
  <si>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</si>
  <si>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</si>
  <si>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</si>
  <si>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</si>
  <si>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</si>
  <si>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</si>
  <si>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3.17~3.23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</si>
  <si>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</si>
  <si>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</si>
  <si>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</si>
  <si>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</si>
  <si>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</si>
  <si>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</si>
  <si>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</si>
  <si>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</si>
  <si>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</si>
  <si>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</si>
  <si>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</si>
  <si>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</si>
  <si>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</si>
  <si>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3.10~3.16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</si>
  <si>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</si>
  <si>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</si>
  <si>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</si>
  <si>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</si>
  <si>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</si>
  <si>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</si>
  <si>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</si>
  <si>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</si>
  <si>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</si>
  <si>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</si>
  <si>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</si>
  <si>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</si>
  <si>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</si>
  <si>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3.3~3.9</t>
  </si>
  <si>
    <t>播放总数</t>
  </si>
  <si>
    <t>互动总数</t>
  </si>
  <si>
    <t>粉丝总数</t>
  </si>
  <si>
    <t>162万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</si>
  <si>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</si>
  <si>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</si>
  <si>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</si>
  <si>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</si>
  <si>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</si>
  <si>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</si>
  <si>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</si>
  <si>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</si>
  <si>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</si>
  <si>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</si>
  <si>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2.24~3.2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</si>
  <si>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</si>
  <si>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</si>
  <si>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</si>
  <si>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</si>
  <si>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</si>
  <si>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</si>
  <si>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</si>
  <si>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</si>
  <si>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</si>
  <si>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</si>
  <si>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</si>
  <si>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</si>
  <si>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</si>
  <si>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2.17~2.23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</si>
  <si>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</si>
  <si>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</si>
  <si>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</si>
  <si>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</si>
  <si>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</si>
  <si>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</si>
  <si>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</si>
  <si>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</si>
  <si>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</si>
  <si>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</si>
  <si>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</si>
  <si>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</si>
  <si>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</si>
  <si>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2.10~2.16</t>
  </si>
  <si>
    <t>播放总数</t>
  </si>
  <si>
    <t>互动总数</t>
  </si>
  <si>
    <t>粉丝总数</t>
  </si>
  <si>
    <t>162万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</si>
  <si>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</si>
  <si>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</si>
  <si>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</si>
  <si>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</si>
  <si>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</si>
  <si>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</si>
  <si>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</si>
  <si>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</si>
  <si>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</si>
  <si>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</si>
  <si>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2.3~2.9</t>
  </si>
  <si>
    <t>播放总数</t>
  </si>
  <si>
    <t>互动总数</t>
  </si>
  <si>
    <t>粉丝总数</t>
  </si>
  <si>
    <t>162万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</si>
  <si>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</si>
  <si>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</si>
  <si>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</si>
  <si>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</si>
  <si>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</si>
  <si>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</si>
  <si>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</si>
  <si>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</si>
  <si>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</si>
  <si>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</si>
  <si>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1.27~2.2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</si>
  <si>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</si>
  <si>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</si>
  <si>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</si>
  <si>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</si>
  <si>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</si>
  <si>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</si>
  <si>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</si>
  <si>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</si>
  <si>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</si>
  <si>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</si>
  <si>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</si>
  <si>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</si>
  <si>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</si>
  <si>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1.20~1.26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</si>
  <si>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</si>
  <si>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</si>
  <si>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</si>
  <si>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</si>
  <si>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</si>
  <si>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</si>
  <si>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</si>
  <si>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</si>
  <si>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</si>
  <si>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</si>
  <si>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</si>
  <si>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</si>
  <si>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</si>
  <si>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1.13~1.19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</si>
  <si>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</si>
  <si>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</si>
  <si>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</si>
  <si>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</si>
  <si>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</si>
  <si>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</si>
  <si>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</si>
  <si>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</si>
  <si>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</si>
  <si>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</si>
  <si>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</si>
  <si>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</si>
  <si>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</si>
  <si>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1.6~1.12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</si>
  <si>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</si>
  <si>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</si>
  <si>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</si>
  <si>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</si>
  <si>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</si>
  <si>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</si>
  <si>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</si>
  <si>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</si>
  <si>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</si>
  <si>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</si>
  <si>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</si>
  <si>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</si>
  <si>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</si>
  <si>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12.30~1.5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</si>
  <si>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</si>
  <si>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</si>
  <si>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</si>
  <si>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</si>
  <si>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</si>
  <si>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</si>
  <si>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</si>
  <si>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</si>
  <si>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</si>
  <si>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</si>
  <si>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</si>
  <si>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</si>
  <si>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</si>
  <si>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2022全年</t>
  </si>
  <si>
    <t>播放总数</t>
  </si>
  <si>
    <t>粉丝净增</t>
  </si>
  <si>
    <t>#VALUE!</t>
  </si>
  <si>
    <t>粉丝总数</t>
  </si>
  <si>
    <t>12.23~12.29</t>
  </si>
  <si>
    <t>播放总数</t>
  </si>
  <si>
    <t>互动总数</t>
  </si>
  <si>
    <t>粉丝总数</t>
  </si>
  <si>
    <t>12.16~12.22</t>
  </si>
  <si>
    <t>播放总数</t>
  </si>
  <si>
    <t>互动总数</t>
  </si>
  <si>
    <t>粉丝总数</t>
  </si>
  <si>
    <t>162.1万</t>
  </si>
  <si>
    <t>12.9~12.15</t>
  </si>
  <si>
    <t>播放总数</t>
  </si>
  <si>
    <t>互动总数</t>
  </si>
  <si>
    <t>粉丝总数</t>
  </si>
  <si>
    <t>162.1万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</si>
  <si>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</si>
  <si>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</si>
  <si>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</si>
  <si>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</si>
  <si>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</si>
  <si>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</si>
  <si>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</si>
  <si>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</si>
  <si>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</si>
  <si>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</si>
  <si>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2022至今</t>
  </si>
  <si>
    <t>播放总数</t>
  </si>
  <si>
    <t>新增粉丝</t>
  </si>
  <si>
    <t>11.11~11.24</t>
  </si>
  <si>
    <t>播放总数</t>
  </si>
  <si>
    <t>新增粉丝</t>
  </si>
  <si>
    <t>12.2~12.8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</si>
  <si>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</si>
  <si>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</si>
  <si>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</si>
  <si>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</si>
  <si>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</si>
  <si>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</si>
  <si>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</si>
  <si>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</si>
  <si>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</si>
  <si>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</si>
  <si>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</si>
  <si>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</si>
  <si>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</si>
  <si>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11.25~12.1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</si>
  <si>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</si>
  <si>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</si>
  <si>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</si>
  <si>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</si>
  <si>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</si>
  <si>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</si>
  <si>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</si>
  <si>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</si>
  <si>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</si>
  <si>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</si>
  <si>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</si>
  <si>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</si>
  <si>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</si>
  <si>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11.11~11.24</t>
  </si>
  <si>
    <t>播放总数</t>
  </si>
  <si>
    <t>新增粉丝</t>
  </si>
  <si>
    <t>11.18~11.24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</si>
  <si>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</si>
  <si>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</si>
  <si>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</si>
  <si>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</si>
  <si>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</si>
  <si>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</si>
  <si>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</si>
  <si>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</si>
  <si>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</si>
  <si>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</si>
  <si>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</si>
  <si>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</si>
  <si>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</si>
  <si>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11.11~11.17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</si>
  <si>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</si>
  <si>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</si>
  <si>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</si>
  <si>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</si>
  <si>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</si>
  <si>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</si>
  <si>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</si>
  <si>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</si>
  <si>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</si>
  <si>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</si>
  <si>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</si>
  <si>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</si>
  <si>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</si>
  <si>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10.28~11.10</t>
  </si>
  <si>
    <t>播放总数</t>
  </si>
  <si>
    <t>新增粉丝</t>
  </si>
  <si>
    <t>10.4~11.10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</si>
  <si>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</si>
  <si>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</si>
  <si>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</si>
  <si>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</si>
  <si>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</si>
  <si>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</si>
  <si>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</si>
  <si>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</si>
  <si>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</si>
  <si>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</si>
  <si>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</si>
  <si>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</si>
  <si>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</si>
  <si>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10.28~11.3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</si>
  <si>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</si>
  <si>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</si>
  <si>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</si>
  <si>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</si>
  <si>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</si>
  <si>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</si>
  <si>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</si>
  <si>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</si>
  <si>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</si>
  <si>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</si>
  <si>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</si>
  <si>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</si>
  <si>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</si>
  <si>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9.30~10.27</t>
  </si>
  <si>
    <t>播放总数</t>
  </si>
  <si>
    <t>新增粉丝</t>
  </si>
  <si>
    <t>10.21~10.27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</si>
  <si>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</si>
  <si>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</si>
  <si>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</si>
  <si>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</si>
  <si>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</si>
  <si>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</si>
  <si>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</si>
  <si>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</si>
  <si>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</si>
  <si>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</si>
  <si>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</si>
  <si>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</si>
  <si>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</si>
  <si>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10.14~10.20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</si>
  <si>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</si>
  <si>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</si>
  <si>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</si>
  <si>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</si>
  <si>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</si>
  <si>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</si>
  <si>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</si>
  <si>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</si>
  <si>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</si>
  <si>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</si>
  <si>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</si>
  <si>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</si>
  <si>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</si>
  <si>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10.7~10.13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</si>
  <si>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</si>
  <si>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</si>
  <si>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</si>
  <si>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</si>
  <si>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</si>
  <si>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</si>
  <si>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</si>
  <si>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</si>
  <si>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</si>
  <si>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</si>
  <si>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</si>
  <si>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</si>
  <si>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</si>
  <si>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9.30~10.6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</si>
  <si>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</si>
  <si>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</si>
  <si>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</si>
  <si>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</si>
  <si>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</si>
  <si>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</si>
  <si>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</si>
  <si>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</si>
  <si>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</si>
  <si>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</si>
  <si>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</si>
  <si>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</si>
  <si>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</si>
  <si>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9.23~9.29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</si>
  <si>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</si>
  <si>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</si>
  <si>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</si>
  <si>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</si>
  <si>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</si>
  <si>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</si>
  <si>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</si>
  <si>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</si>
  <si>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</si>
  <si>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</si>
  <si>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</si>
  <si>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</si>
  <si>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</si>
  <si>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9.16~9.22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</si>
  <si>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</si>
  <si>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</si>
  <si>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</si>
  <si>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</si>
  <si>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</si>
  <si>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</si>
  <si>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</si>
  <si>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</si>
  <si>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</si>
  <si>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</si>
  <si>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</si>
  <si>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</si>
  <si>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</si>
  <si>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9.9~9.15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</si>
  <si>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</si>
  <si>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</si>
  <si>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</si>
  <si>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</si>
  <si>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</si>
  <si>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</si>
  <si>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</si>
  <si>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</si>
  <si>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</si>
  <si>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</si>
  <si>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</si>
  <si>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</si>
  <si>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</si>
  <si>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9.2~9.8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</si>
  <si>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</si>
  <si>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</si>
  <si>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</si>
  <si>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</si>
  <si>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</si>
  <si>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</si>
  <si>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</si>
  <si>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</si>
  <si>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</si>
  <si>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</si>
  <si>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</si>
  <si>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</si>
  <si>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</si>
  <si>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8.26~9.1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</si>
  <si>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</si>
  <si>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</si>
  <si>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</si>
  <si>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</si>
  <si>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</si>
  <si>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</si>
  <si>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</si>
  <si>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</si>
  <si>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</si>
  <si>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</si>
  <si>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</si>
  <si>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</si>
  <si>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</si>
  <si>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8.19~8.25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</si>
  <si>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</si>
  <si>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</si>
  <si>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</si>
  <si>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</si>
  <si>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</si>
  <si>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</si>
  <si>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</si>
  <si>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</si>
  <si>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</si>
  <si>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</si>
  <si>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</si>
  <si>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</si>
  <si>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</si>
  <si>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8.12~8.18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</si>
  <si>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</si>
  <si>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</si>
  <si>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</si>
  <si>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</si>
  <si>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</si>
  <si>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</si>
  <si>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</si>
  <si>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</si>
  <si>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</si>
  <si>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</si>
  <si>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</si>
  <si>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</si>
  <si>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</si>
  <si>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8.5~8.11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</si>
  <si>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</si>
  <si>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</si>
  <si>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</si>
  <si>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</si>
  <si>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</si>
  <si>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</si>
  <si>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</si>
  <si>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</si>
  <si>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</si>
  <si>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</si>
  <si>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</si>
  <si>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</si>
  <si>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</si>
  <si>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7.29~8.4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</si>
  <si>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</si>
  <si>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</si>
  <si>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</si>
  <si>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</si>
  <si>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</si>
  <si>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</si>
  <si>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</si>
  <si>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</si>
  <si>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</si>
  <si>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</si>
  <si>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</si>
  <si>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</si>
  <si>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</si>
  <si>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7.22~7.28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</si>
  <si>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</si>
  <si>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</si>
  <si>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</si>
  <si>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</si>
  <si>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</si>
  <si>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</si>
  <si>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</si>
  <si>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</si>
  <si>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</si>
  <si>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</si>
  <si>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</si>
  <si>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</si>
  <si>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</si>
  <si>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7.15~7.21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</si>
  <si>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</si>
  <si>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</si>
  <si>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</si>
  <si>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</si>
  <si>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</si>
  <si>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</si>
  <si>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</si>
  <si>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</si>
  <si>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</si>
  <si>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</si>
  <si>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</si>
  <si>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</si>
  <si>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</si>
  <si>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7.8~7.14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</si>
  <si>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</si>
  <si>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</si>
  <si>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</si>
  <si>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</si>
  <si>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</si>
  <si>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</si>
  <si>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</si>
  <si>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</si>
  <si>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</si>
  <si>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</si>
  <si>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</si>
  <si>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</si>
  <si>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</si>
  <si>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7.1~7.7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</si>
  <si>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</si>
  <si>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</si>
  <si>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</si>
  <si>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</si>
  <si>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</si>
  <si>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</si>
  <si>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</si>
  <si>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</si>
  <si>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</si>
  <si>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</si>
  <si>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</si>
  <si>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</si>
  <si>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</si>
  <si>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6.24~6.30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</si>
  <si>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</si>
  <si>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</si>
  <si>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</si>
  <si>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</si>
  <si>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</si>
  <si>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</si>
  <si>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</si>
  <si>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</si>
  <si>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</si>
  <si>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</si>
  <si>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</si>
  <si>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</si>
  <si>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</si>
  <si>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6.17~6.23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</si>
  <si>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</si>
  <si>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</si>
  <si>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</si>
  <si>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</si>
  <si>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</si>
  <si>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</si>
  <si>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</si>
  <si>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</si>
  <si>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</si>
  <si>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</si>
  <si>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</si>
  <si>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</si>
  <si>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</si>
  <si>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6.10~6.16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</si>
  <si>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</si>
  <si>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</si>
  <si>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</si>
  <si>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</si>
  <si>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</si>
  <si>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</si>
  <si>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</si>
  <si>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</si>
  <si>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</si>
  <si>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</si>
  <si>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</si>
  <si>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</si>
  <si>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</si>
  <si>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6.3~6.9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</si>
  <si>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</si>
  <si>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</si>
  <si>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</si>
  <si>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</si>
  <si>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</si>
  <si>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</si>
  <si>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</si>
  <si>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</si>
  <si>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</si>
  <si>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</si>
  <si>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</si>
  <si>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</si>
  <si>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</si>
  <si>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5.27~6.2</t>
  </si>
  <si>
    <t>播放总数</t>
  </si>
  <si>
    <t>互动总数</t>
  </si>
  <si>
    <t>粉丝总数</t>
  </si>
  <si>
    <t>5.20~5.26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</si>
  <si>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</si>
  <si>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</si>
  <si>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</si>
  <si>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</si>
  <si>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</si>
  <si>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</si>
  <si>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</si>
  <si>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</si>
  <si>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</si>
  <si>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</si>
  <si>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</si>
  <si>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</si>
  <si>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</si>
  <si>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5.13~5.19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</si>
  <si>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</si>
  <si>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</si>
  <si>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</si>
  <si>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</si>
  <si>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</si>
  <si>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</si>
  <si>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</si>
  <si>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</si>
  <si>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</si>
  <si>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</si>
  <si>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</si>
  <si>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</si>
  <si>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</si>
  <si>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5.6~5.12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</si>
  <si>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</si>
  <si>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</si>
  <si>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</si>
  <si>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</si>
  <si>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</si>
  <si>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</si>
  <si>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</si>
  <si>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</si>
  <si>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</si>
  <si>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</si>
  <si>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</si>
  <si>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</si>
  <si>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</si>
  <si>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4.29~5.5</t>
  </si>
  <si>
    <t>播放总数</t>
  </si>
  <si>
    <t>互动总数</t>
  </si>
  <si>
    <t>粉丝总数</t>
  </si>
  <si>
    <t>4.22~4.28</t>
  </si>
  <si>
    <t>播放总数</t>
  </si>
  <si>
    <t>互动总数</t>
  </si>
  <si>
    <t>粉丝总数</t>
  </si>
  <si>
    <t>4.15~4.21</t>
  </si>
  <si>
    <t>播放总数</t>
  </si>
  <si>
    <t>互动总数</t>
  </si>
  <si>
    <t xml:space="preserve">2 352</t>
  </si>
  <si>
    <t>粉丝总数</t>
  </si>
  <si>
    <t>4.8~4.14</t>
  </si>
  <si>
    <t>播放总数</t>
  </si>
  <si>
    <t>互动总数</t>
  </si>
  <si>
    <t>粉丝总数</t>
  </si>
  <si>
    <t>4.1~4.7</t>
  </si>
  <si>
    <t>播放总数</t>
  </si>
  <si>
    <t>互动总数</t>
  </si>
  <si>
    <t>粉丝总数</t>
  </si>
  <si>
    <t>3.25~3.31</t>
  </si>
  <si>
    <t>播放总数</t>
  </si>
  <si>
    <t>互动总数</t>
  </si>
  <si>
    <t>粉丝总数</t>
  </si>
  <si>
    <t>3.18~3.24</t>
  </si>
  <si>
    <t>播放总数</t>
  </si>
  <si>
    <t>互动总数</t>
  </si>
  <si>
    <t>粉丝总数</t>
  </si>
  <si>
    <t>3.11~3.17</t>
  </si>
  <si>
    <t>播放总数</t>
  </si>
  <si>
    <t>互动总数</t>
  </si>
  <si>
    <t>粉丝总数</t>
  </si>
  <si>
    <t>3.4~3.10</t>
  </si>
  <si>
    <t>播放总数</t>
  </si>
  <si>
    <t>互动总数</t>
  </si>
  <si>
    <t>粉丝总数</t>
  </si>
  <si>
    <t>162.7万</t>
  </si>
  <si>
    <t>12.8万</t>
  </si>
  <si>
    <t>1.9万</t>
  </si>
  <si>
    <t>2.25~3.3</t>
  </si>
  <si>
    <t>播放总数</t>
  </si>
  <si>
    <t>互动总数</t>
  </si>
  <si>
    <t>粉丝总数</t>
  </si>
  <si>
    <t>2.18~2.24</t>
  </si>
  <si>
    <t>播放总数</t>
  </si>
  <si>
    <t>互动总数</t>
  </si>
  <si>
    <t>粉丝总数</t>
  </si>
  <si>
    <t>162.7万</t>
  </si>
  <si>
    <t>2.11~2.17</t>
  </si>
  <si>
    <t>播放总数</t>
  </si>
  <si>
    <t>互动总数</t>
  </si>
  <si>
    <t>粉丝总数</t>
  </si>
  <si>
    <t>162.7万</t>
  </si>
  <si>
    <t>12.2万</t>
  </si>
  <si>
    <t>2.4~2.10</t>
  </si>
  <si>
    <t>播放总数</t>
  </si>
  <si>
    <t>互动总数</t>
  </si>
  <si>
    <t>20.7万</t>
  </si>
  <si>
    <t xml:space="preserve">3 006</t>
  </si>
  <si>
    <t>粉丝总数</t>
  </si>
  <si>
    <t>162.7万</t>
  </si>
  <si>
    <t>11.8万</t>
  </si>
  <si>
    <t>5.8万</t>
  </si>
  <si>
    <t>1.28~2.3</t>
  </si>
  <si>
    <t>播放总数</t>
  </si>
  <si>
    <t>互动总数</t>
  </si>
  <si>
    <t>粉丝总数</t>
  </si>
  <si>
    <t>162.7万</t>
  </si>
  <si>
    <t>1.21~1.27</t>
  </si>
  <si>
    <t>播放总数</t>
  </si>
  <si>
    <t>互动总数</t>
  </si>
  <si>
    <t>9.6万</t>
  </si>
  <si>
    <t xml:space="preserve">3 048</t>
  </si>
  <si>
    <t>粉丝总数</t>
  </si>
  <si>
    <t>162.7万</t>
  </si>
  <si>
    <t>1.14~1.20</t>
  </si>
  <si>
    <t>播放总数</t>
  </si>
  <si>
    <t>互动总数</t>
  </si>
  <si>
    <t>粉丝总数</t>
  </si>
  <si>
    <t>162.7万</t>
  </si>
  <si>
    <t>1.7~1.13</t>
  </si>
  <si>
    <t>播放总数</t>
  </si>
  <si>
    <t>互动总数</t>
  </si>
  <si>
    <t>粉丝总数</t>
  </si>
  <si>
    <t>12.31~1.6</t>
  </si>
  <si>
    <t>播放总数</t>
  </si>
  <si>
    <t>互动总数</t>
  </si>
  <si>
    <t>粉丝总数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</si>
  <si>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</si>
  <si>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</si>
  <si>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</si>
  <si>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</si>
  <si>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</si>
  <si>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</si>
  <si>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</si>
  <si>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</si>
  <si>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</si>
  <si>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</si>
  <si>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 xml:space="preserve">2022 Q1</t>
  </si>
  <si>
    <t>播放总数</t>
  </si>
  <si>
    <t>粉丝净增</t>
  </si>
  <si>
    <t>12.24~12.30</t>
  </si>
  <si>
    <t>播放总数</t>
  </si>
  <si>
    <t>互动总数</t>
  </si>
  <si>
    <t>粉丝总数</t>
  </si>
  <si>
    <t xml:space="preserve">75 540</t>
  </si>
  <si>
    <t>12.17~12.23</t>
  </si>
  <si>
    <t>播放总数</t>
  </si>
  <si>
    <t>互动总数</t>
  </si>
  <si>
    <t xml:space="preserve">2 275</t>
  </si>
  <si>
    <t>粉丝总数</t>
  </si>
  <si>
    <t xml:space="preserve">75 099</t>
  </si>
  <si>
    <t>12.10~12.16</t>
  </si>
  <si>
    <t>播放总数</t>
  </si>
  <si>
    <t>互动总数</t>
  </si>
  <si>
    <t>粉丝总数</t>
  </si>
  <si>
    <t>12.3~12.9</t>
  </si>
  <si>
    <t>播放总数</t>
  </si>
  <si>
    <t>互动总数</t>
  </si>
  <si>
    <t>粉丝总数</t>
  </si>
  <si>
    <t>11.26~12.2</t>
  </si>
  <si>
    <t>播放总数</t>
  </si>
  <si>
    <t>互动总数</t>
  </si>
  <si>
    <t>粉丝总数</t>
  </si>
  <si>
    <t>11.19~11.25</t>
  </si>
  <si>
    <t>播放总数</t>
  </si>
  <si>
    <t>互动总数</t>
  </si>
  <si>
    <t>粉丝总数</t>
  </si>
  <si>
    <t>11.12~11.18</t>
  </si>
  <si>
    <t>播放总数</t>
  </si>
  <si>
    <t>互动总数</t>
  </si>
  <si>
    <t>粉丝总数</t>
  </si>
  <si>
    <t>11.5~11.11</t>
  </si>
  <si>
    <t>播放总数</t>
  </si>
  <si>
    <t>互动总数</t>
  </si>
  <si>
    <t>粉丝总数</t>
  </si>
  <si>
    <t>10.29~11.4</t>
  </si>
  <si>
    <t>播放总数</t>
  </si>
  <si>
    <t>互动总数</t>
  </si>
  <si>
    <t>粉丝总数</t>
  </si>
  <si>
    <t>10.22~10.28</t>
  </si>
  <si>
    <t>播放总数</t>
  </si>
  <si>
    <t>互动总数</t>
  </si>
  <si>
    <t>粉丝总数</t>
  </si>
  <si>
    <t>9.25~10.24</t>
  </si>
  <si>
    <t>播放总数</t>
  </si>
  <si>
    <t>709526（含小视频）</t>
  </si>
  <si>
    <t>互动总数</t>
  </si>
  <si>
    <t>粉丝总数</t>
  </si>
  <si>
    <t>10.15~10.21</t>
  </si>
  <si>
    <t>播放总数</t>
  </si>
  <si>
    <t>互动总数</t>
  </si>
  <si>
    <t>粉丝总数</t>
  </si>
  <si>
    <t>10.8~10.14</t>
  </si>
  <si>
    <t>播放总数</t>
  </si>
  <si>
    <t>互动总数</t>
  </si>
  <si>
    <t>粉丝总数</t>
  </si>
  <si>
    <t>7.1~9.30</t>
  </si>
  <si>
    <t>播放总数</t>
  </si>
  <si>
    <t>粉丝总数</t>
  </si>
  <si>
    <t>粉丝净增</t>
  </si>
  <si>
    <t>10.1~10.7</t>
  </si>
  <si>
    <t>播放总数</t>
  </si>
  <si>
    <t>互动总数</t>
  </si>
  <si>
    <t>粉丝总数</t>
  </si>
  <si>
    <t>9.24~9.30</t>
  </si>
  <si>
    <t>播放总数</t>
  </si>
  <si>
    <t>/</t>
  </si>
  <si>
    <t>互动总数</t>
  </si>
  <si>
    <t>/</t>
  </si>
  <si>
    <t>粉丝总数</t>
  </si>
  <si>
    <t>8.25~9.24</t>
  </si>
  <si>
    <t>播放总数</t>
  </si>
  <si>
    <t>互动总数</t>
  </si>
  <si>
    <t>粉丝总数</t>
  </si>
  <si>
    <t>9.17~9.23</t>
  </si>
  <si>
    <t>播放总数</t>
  </si>
  <si>
    <t>互动总数</t>
  </si>
  <si>
    <t>粉丝总数</t>
  </si>
  <si>
    <t>9.10~9.16</t>
  </si>
  <si>
    <t>播放总数</t>
  </si>
  <si>
    <t>互动总数</t>
  </si>
  <si>
    <t>粉丝总数</t>
  </si>
  <si>
    <t>9.3~9.9</t>
  </si>
  <si>
    <t>播放总数</t>
  </si>
  <si>
    <t>互动总数</t>
  </si>
  <si>
    <t>粉丝总数</t>
  </si>
  <si>
    <t>8.27~9.2</t>
  </si>
  <si>
    <t>播放总数</t>
  </si>
  <si>
    <t>互动总数</t>
  </si>
  <si>
    <t>粉丝总数</t>
  </si>
  <si>
    <t>8.20~8.26</t>
  </si>
  <si>
    <t>播放总数</t>
  </si>
  <si>
    <t>互动总数</t>
  </si>
  <si>
    <t>粉丝总数</t>
  </si>
  <si>
    <t>7.25~8.24</t>
  </si>
  <si>
    <t>播放总数</t>
  </si>
  <si>
    <t>互动总数</t>
  </si>
  <si>
    <t>粉丝总数</t>
  </si>
  <si>
    <t>8.13~8.19</t>
  </si>
  <si>
    <t>播放总数</t>
  </si>
  <si>
    <t>互动总数</t>
  </si>
  <si>
    <t>粉丝总数</t>
  </si>
  <si>
    <t>8.6~8.12</t>
  </si>
  <si>
    <t>播放总数</t>
  </si>
  <si>
    <t>互动总数</t>
  </si>
  <si>
    <t>粉丝总数</t>
  </si>
  <si>
    <t>7.30~8.5</t>
  </si>
  <si>
    <t>播放总数</t>
  </si>
  <si>
    <t>互动总数</t>
  </si>
  <si>
    <t>粉丝总数</t>
  </si>
  <si>
    <t>7.23~7.29</t>
  </si>
  <si>
    <t>播放总数</t>
  </si>
  <si>
    <t>互动总数</t>
  </si>
  <si>
    <t>粉丝总数</t>
  </si>
  <si>
    <t>6.24~7.25</t>
  </si>
  <si>
    <t>播放总数</t>
  </si>
  <si>
    <t>互动总数</t>
  </si>
  <si>
    <t>粉丝总数</t>
  </si>
  <si>
    <t>7.16~7.22</t>
  </si>
  <si>
    <t>播放总数</t>
  </si>
  <si>
    <t>互动总数</t>
  </si>
  <si>
    <t>粉丝总数</t>
  </si>
  <si>
    <t>7.9~7.15</t>
  </si>
  <si>
    <t>播放总数</t>
  </si>
  <si>
    <t>互动总数</t>
  </si>
  <si>
    <t>粉丝总数</t>
  </si>
  <si>
    <t>7.2~7.8</t>
  </si>
  <si>
    <t>播放总数</t>
  </si>
  <si>
    <t>互动总数</t>
  </si>
  <si>
    <t>粉丝总数</t>
  </si>
  <si>
    <t>6.25~7.1</t>
  </si>
  <si>
    <t>播放总数</t>
  </si>
  <si>
    <t>互动总数</t>
  </si>
  <si>
    <t>粉丝总数</t>
  </si>
  <si>
    <t>6.18~6.24</t>
  </si>
  <si>
    <t>播放总数</t>
  </si>
  <si>
    <t>互动总数</t>
  </si>
  <si>
    <t>粉丝总数</t>
  </si>
  <si>
    <t>5.24~6.23</t>
  </si>
  <si>
    <t>播放总数</t>
  </si>
  <si>
    <t>互动总数</t>
  </si>
  <si>
    <t>粉丝总数</t>
  </si>
  <si>
    <t>6.11~6.17</t>
  </si>
  <si>
    <t>播放总数</t>
  </si>
  <si>
    <t>互动总数</t>
  </si>
  <si>
    <t>粉丝总数</t>
  </si>
  <si>
    <t>6.4~6.10</t>
  </si>
  <si>
    <t>播放总数</t>
  </si>
  <si>
    <t>互动总数</t>
  </si>
  <si>
    <t>粉丝总数</t>
  </si>
  <si>
    <t>5.28~6.3</t>
  </si>
  <si>
    <t>播放总数</t>
  </si>
  <si>
    <t>互动总数</t>
  </si>
  <si>
    <t>粉丝总数</t>
  </si>
  <si>
    <t>5.21~5.27</t>
  </si>
  <si>
    <t>播放总数</t>
  </si>
  <si>
    <t>互动总数</t>
  </si>
  <si>
    <t>粉丝总数</t>
  </si>
  <si>
    <t>4.22~5.23</t>
  </si>
  <si>
    <t>播放总数</t>
  </si>
  <si>
    <t>互动总数</t>
  </si>
  <si>
    <t>粉丝总数</t>
  </si>
  <si>
    <t>5.14~5.20</t>
  </si>
  <si>
    <t>播放总数</t>
  </si>
  <si>
    <t>互动总数</t>
  </si>
  <si>
    <t>粉丝总数</t>
  </si>
  <si>
    <t>5.7~5.13</t>
  </si>
  <si>
    <t>播放总数</t>
  </si>
  <si>
    <t>互动总数</t>
  </si>
  <si>
    <t>粉丝总数</t>
  </si>
  <si>
    <t>4.30~5.6</t>
  </si>
  <si>
    <t>播放总数</t>
  </si>
  <si>
    <t>互动总数</t>
  </si>
  <si>
    <t>粉丝总数</t>
  </si>
  <si>
    <t>4.23~4.29</t>
  </si>
  <si>
    <t>播放总数</t>
  </si>
  <si>
    <t>互动总数</t>
  </si>
  <si>
    <t>粉丝总数</t>
  </si>
  <si>
    <t>4.16~4.22</t>
  </si>
  <si>
    <t>播放总数</t>
  </si>
  <si>
    <t>互动总数</t>
  </si>
  <si>
    <t>粉丝总数</t>
  </si>
  <si>
    <t>3.22~4.21</t>
  </si>
  <si>
    <t>播放总数</t>
  </si>
  <si>
    <t>33w</t>
  </si>
  <si>
    <t>42w+</t>
  </si>
  <si>
    <t>33w+</t>
  </si>
  <si>
    <t>26.4w</t>
  </si>
  <si>
    <t>5.1w</t>
  </si>
  <si>
    <t>粉丝净增</t>
  </si>
  <si>
    <t xml:space="preserve"> </t>
  </si>
  <si>
    <t>粉丝总数</t>
  </si>
  <si>
    <t>4.9~4.15</t>
  </si>
  <si>
    <t>播放总数</t>
  </si>
  <si>
    <t>互动总数</t>
  </si>
  <si>
    <t>粉丝总数</t>
  </si>
  <si>
    <t>4.2~4.8</t>
  </si>
  <si>
    <t>播放总数</t>
  </si>
  <si>
    <t>互动总数</t>
  </si>
  <si>
    <t>粉丝总数</t>
  </si>
  <si>
    <t>3.26~4.1</t>
  </si>
  <si>
    <t>播放总数</t>
  </si>
  <si>
    <t>互动总数</t>
  </si>
  <si>
    <t>粉丝总数</t>
  </si>
  <si>
    <t>3.19~3.25</t>
  </si>
  <si>
    <t>播放总数</t>
  </si>
  <si>
    <t>互动总数</t>
  </si>
  <si>
    <t>粉丝总数</t>
  </si>
  <si>
    <t>2.1~3.24</t>
  </si>
  <si>
    <t>播放总数</t>
  </si>
  <si>
    <t>互动总数</t>
  </si>
  <si>
    <t>/</t>
  </si>
  <si>
    <t>粉丝总数</t>
  </si>
  <si>
    <t>微博</t>
  </si>
  <si>
    <t>B站</t>
  </si>
  <si>
    <t>视频号</t>
  </si>
  <si>
    <t>抖音</t>
  </si>
  <si>
    <t>快手</t>
  </si>
  <si>
    <t>头条</t>
  </si>
  <si>
    <t>百家</t>
  </si>
  <si>
    <t>企鹅</t>
  </si>
  <si>
    <t>知乎</t>
  </si>
  <si>
    <t>播放总数</t>
  </si>
  <si>
    <t>粉丝净增</t>
  </si>
  <si>
    <t>微博</t>
  </si>
  <si>
    <t>B站</t>
  </si>
  <si>
    <t>视频号</t>
  </si>
  <si>
    <t>抖音</t>
  </si>
  <si>
    <t>快手</t>
  </si>
  <si>
    <t>头条</t>
  </si>
  <si>
    <t>百家</t>
  </si>
  <si>
    <t>企鹅</t>
  </si>
  <si>
    <t>知乎</t>
  </si>
  <si>
    <t>2.1~6.25</t>
  </si>
  <si>
    <t>播放总数</t>
  </si>
  <si>
    <t>105w</t>
  </si>
  <si>
    <t>130w</t>
  </si>
  <si>
    <t>162w</t>
  </si>
  <si>
    <t>127w</t>
  </si>
  <si>
    <t>214w</t>
  </si>
  <si>
    <t>84w</t>
  </si>
  <si>
    <t>78w</t>
  </si>
  <si>
    <t>52w</t>
  </si>
  <si>
    <t>6.2w</t>
  </si>
  <si>
    <t>粉丝净增</t>
  </si>
  <si>
    <t>#REF!</t>
  </si>
  <si>
    <t>#REF!</t>
  </si>
  <si>
    <t>#REF!</t>
  </si>
  <si>
    <t>#REF!</t>
  </si>
  <si>
    <t>周期</t>
  </si>
  <si>
    <t>发布日期</t>
  </si>
  <si>
    <t>标题</t>
  </si>
  <si>
    <t>视频号</t>
  </si>
  <si>
    <t>抖音</t>
  </si>
  <si>
    <t>快手</t>
  </si>
  <si>
    <t>小红书</t>
  </si>
  <si>
    <t>小红书</t>
  </si>
  <si>
    <t>微博</t>
  </si>
  <si>
    <t>微博</t>
  </si>
  <si>
    <t>B站</t>
  </si>
  <si>
    <t>腾讯视频</t>
  </si>
  <si>
    <t>头条</t>
  </si>
  <si>
    <t>百家号</t>
  </si>
  <si>
    <t>企鹅号</t>
  </si>
  <si>
    <t>网易号</t>
  </si>
  <si>
    <t>知乎</t>
  </si>
  <si>
    <t>单条累计播放</t>
  </si>
  <si>
    <t>雪球</t>
  </si>
  <si>
    <t>30.28万</t>
  </si>
  <si>
    <t>17.4万</t>
  </si>
  <si>
    <t>22.8万</t>
  </si>
  <si>
    <t>161.2万</t>
  </si>
  <si>
    <t>7.4万</t>
  </si>
  <si>
    <t>内容</t>
  </si>
  <si>
    <t>播放量</t>
  </si>
  <si>
    <t>点赞</t>
  </si>
  <si>
    <t>评论</t>
  </si>
  <si>
    <t>转发</t>
  </si>
  <si>
    <t>播放量</t>
  </si>
  <si>
    <t>点赞</t>
  </si>
  <si>
    <t>评论</t>
  </si>
  <si>
    <t>播放量</t>
  </si>
  <si>
    <t>点赞</t>
  </si>
  <si>
    <t>评论</t>
  </si>
  <si>
    <t>标题</t>
  </si>
  <si>
    <t>播放量</t>
  </si>
  <si>
    <t>阅读量</t>
  </si>
  <si>
    <t>播放量</t>
  </si>
  <si>
    <t>播放量</t>
  </si>
  <si>
    <t>点赞</t>
  </si>
  <si>
    <t>评论</t>
  </si>
  <si>
    <t>转发</t>
  </si>
  <si>
    <t>播放量</t>
  </si>
  <si>
    <t>播放量</t>
  </si>
  <si>
    <t>播放量</t>
  </si>
  <si>
    <t>播放量</t>
  </si>
  <si>
    <t>播放量</t>
  </si>
  <si>
    <t>播放量</t>
  </si>
  <si>
    <t>文字</t>
  </si>
  <si>
    <t>2024年</t>
  </si>
  <si>
    <t>“中国英伟达”要IPO了，估值超250亿</t>
  </si>
  <si>
    <t>92w</t>
  </si>
  <si>
    <t>39w</t>
  </si>
  <si>
    <t>9.1w</t>
  </si>
  <si>
    <t>上线即回本，黑神话悟空赚麻了</t>
  </si>
  <si>
    <t>11w</t>
  </si>
  <si>
    <t>8.1w</t>
  </si>
  <si>
    <t>30.3w</t>
  </si>
  <si>
    <t>米村拌饭（葱花都是预制菜，人均30的“东北麦当劳”，7年开千店）</t>
  </si>
  <si>
    <t>27w</t>
  </si>
  <si>
    <t>65w</t>
  </si>
  <si>
    <t>18.5w</t>
  </si>
  <si>
    <t>Gumroad（一个员工都没有，却年入千万美金）</t>
  </si>
  <si>
    <t>11.1w</t>
  </si>
  <si>
    <t>15.4w</t>
  </si>
  <si>
    <t>10.1w</t>
  </si>
  <si>
    <t>klook（这三个年轻人，又融了15亿）</t>
  </si>
  <si>
    <t>14.2w</t>
  </si>
  <si>
    <t>11.3w</t>
  </si>
  <si>
    <t>48w</t>
  </si>
  <si>
    <t>2023年</t>
  </si>
  <si>
    <t>2023年度大盘点</t>
  </si>
  <si>
    <t>13.4w</t>
  </si>
  <si>
    <t>pika（4人公司，半年估值超2亿美金）</t>
  </si>
  <si>
    <t>16.5w</t>
  </si>
  <si>
    <t>Craigslist（美国大叔，靠土掉渣的网站，年入10亿美金）</t>
  </si>
  <si>
    <t>10w</t>
  </si>
  <si>
    <t>27.7w</t>
  </si>
  <si>
    <t xml:space="preserve">scale Ai(
97年华裔小伙，干出500亿估值独角兽，身家10亿美金)</t>
  </si>
  <si>
    <t>6.9w</t>
  </si>
  <si>
    <t>10.9w</t>
  </si>
  <si>
    <t>17.9w</t>
  </si>
  <si>
    <t>44.5w</t>
  </si>
  <si>
    <t>市值200亿港元！东北夫妻“卖大米”卖到上市，坐拥百亿身家</t>
  </si>
  <si>
    <t>46.4w</t>
  </si>
  <si>
    <t>67.5w</t>
  </si>
  <si>
    <t>15.7w</t>
  </si>
  <si>
    <t xml:space="preserve">肯德基、麦当劳的汉堡为什么越卖越小？ </t>
  </si>
  <si>
    <t>80w</t>
  </si>
  <si>
    <t>42.6w</t>
  </si>
  <si>
    <t>10w</t>
  </si>
  <si>
    <t>一个外国纸盒，拿走中国乳业75%利润</t>
  </si>
  <si>
    <t>22w</t>
  </si>
  <si>
    <t>搬家一次8000块，靠“变态”服务一年入账100亿！</t>
  </si>
  <si>
    <t>16.3w</t>
  </si>
  <si>
    <t>日本第一“烂”店，厕所都在卖货，却年入900亿</t>
  </si>
  <si>
    <t>\</t>
  </si>
  <si>
    <t>\</t>
  </si>
  <si>
    <t>\</t>
  </si>
  <si>
    <t>日本“外卖大王”，每天只卖一道菜，年赚90亿日元</t>
  </si>
  <si>
    <t>75.5w</t>
  </si>
  <si>
    <t>8.9w</t>
  </si>
  <si>
    <t>44w</t>
  </si>
  <si>
    <t>3.6w</t>
  </si>
  <si>
    <t>31w</t>
  </si>
  <si>
    <t>13w</t>
  </si>
  <si>
    <t>23w</t>
  </si>
  <si>
    <t>18.8w</t>
  </si>
  <si>
    <t>中国“快餐隐形冠军”，75平小店，年流水2000万</t>
  </si>
  <si>
    <t>11w</t>
  </si>
  <si>
    <t>13.8w</t>
  </si>
  <si>
    <t>44.8w</t>
  </si>
  <si>
    <t>阿里女员工跑到沙特干快递，打造“中东版顺丰”，4年赚了几十亿</t>
  </si>
  <si>
    <t>11.4w</t>
  </si>
  <si>
    <t>35.6w</t>
  </si>
  <si>
    <t>甩喜茶、奈雪几条街，中国真正的“奶茶之王”，正在闷声发大财</t>
  </si>
  <si>
    <t>/</t>
  </si>
  <si>
    <t>/</t>
  </si>
  <si>
    <t>/</t>
  </si>
  <si>
    <t>29w</t>
  </si>
  <si>
    <t>/</t>
  </si>
  <si>
    <t>\</t>
  </si>
  <si>
    <t>\</t>
  </si>
  <si>
    <t>\</t>
  </si>
  <si>
    <t>\</t>
  </si>
  <si>
    <t>35.1w</t>
  </si>
  <si>
    <t>一年挣一艘航母，出海“打工”的大熊猫，吸金力有多强？</t>
  </si>
  <si>
    <t>\</t>
  </si>
  <si>
    <t>\</t>
  </si>
  <si>
    <t>\</t>
  </si>
  <si>
    <t>\</t>
  </si>
  <si>
    <t>23.2w</t>
  </si>
  <si>
    <t>买根香蕉排队2小时，却火爆全美50年，异类超市“缺德舅”凭啥</t>
  </si>
  <si>
    <t>奇葩超市，买根香蕉2小时，火爆全美50年</t>
  </si>
  <si>
    <t>\</t>
  </si>
  <si>
    <t>\</t>
  </si>
  <si>
    <t>\</t>
  </si>
  <si>
    <t>\</t>
  </si>
  <si>
    <t>2年开2000多家店，“中式汉堡”塔斯汀，能抢麦当劳和肯德基的地盘吗？</t>
  </si>
  <si>
    <t>15w</t>
  </si>
  <si>
    <t>汉堡界瑞幸，2年开店2000家</t>
  </si>
  <si>
    <t>\</t>
  </si>
  <si>
    <t>\</t>
  </si>
  <si>
    <t>\</t>
  </si>
  <si>
    <t>\</t>
  </si>
  <si>
    <t>打败中国本土超市，动辄花费千元，美国山姆超市为何在中国火爆？</t>
  </si>
  <si>
    <t>11.4w</t>
  </si>
  <si>
    <t>山姆超市，如何玩转大包装？</t>
  </si>
  <si>
    <t>靠卖数据线年入34亿，80后小伙从华强北小档口，干出一家IPO！</t>
  </si>
  <si>
    <t>80后小伙，靠卖数据线年入34亿</t>
  </si>
  <si>
    <t>10.1w</t>
  </si>
  <si>
    <t>山东版胖东来，坐拥1000家店，年赚百亿</t>
  </si>
  <si>
    <t>山东版胖东来，年赚百亿</t>
  </si>
  <si>
    <t>如何看外资企业加速撤离中国？</t>
  </si>
  <si>
    <t>如何看外资企业加速撤离中国？</t>
  </si>
  <si>
    <t>/</t>
  </si>
  <si>
    <t>未通过</t>
  </si>
  <si>
    <t>55岁二次创业，中国最牛退休大妈，靠卖易拉罐年入百亿</t>
  </si>
  <si>
    <t>中国最牛退休大妈，靠卖易拉罐年入百亿</t>
  </si>
  <si>
    <t>17.4w</t>
  </si>
  <si>
    <t>坐拥2000家宠物医院，估值300亿，这个54岁的兽医要去IPO了</t>
  </si>
  <si>
    <t>54岁的兽医要去IPO了</t>
  </si>
  <si>
    <t>年入200亿！中国夫妻打造美国第一中餐品牌，还在全球开了2000家店</t>
  </si>
  <si>
    <t>中国夫妻打造美国第一中餐品牌</t>
  </si>
  <si>
    <t>11.1w</t>
  </si>
  <si>
    <t>这座湖南小城，承包了中国80%的烟花，年产值超260亿</t>
  </si>
  <si>
    <t>这座湖南小城，承包了中国80%的烟花</t>
  </si>
  <si>
    <t>中国零食界“大王”，靠“抄袭”，每天躺赚半个亿</t>
  </si>
  <si>
    <t>中国零食大王的成功，全靠“抄”</t>
  </si>
  <si>
    <t>中国人玩剩的游戏，搬到海外大杀四方，狂赚老外36亿元</t>
  </si>
  <si>
    <t>中国人玩剩的游戏，搬到海外大杀四方</t>
  </si>
  <si>
    <t>中国第一商贩！靠卖瓜子赚百万，邓小平多次帮他出手！</t>
  </si>
  <si>
    <t>中国第一商贩！靠卖瓜子赚百万</t>
  </si>
  <si>
    <t>未通过</t>
  </si>
  <si>
    <t>当当降格成京东卖家，昔日霸主做错了什么？</t>
  </si>
  <si>
    <t>当当降格成京东卖家，昔日霸主做错了什么？</t>
  </si>
  <si>
    <t>日本第一大饮料企业，扎根中国30多年，在中国闷声发大财</t>
  </si>
  <si>
    <t>19.5w</t>
  </si>
  <si>
    <t>日本第一大饮料企业，在中国闷声发大财</t>
  </si>
  <si>
    <t>40.5w</t>
  </si>
  <si>
    <t>一个山西小县，把“打铁”生意做到了世界第一，靠“法兰”实现造富！</t>
  </si>
  <si>
    <t>一个山西小县，靠“法兰”实现造富！</t>
  </si>
  <si>
    <t>21.3w</t>
  </si>
  <si>
    <t>2022年</t>
  </si>
  <si>
    <t>2022年终大盘点，这些大事件你错过了吗？</t>
  </si>
  <si>
    <t>2022年终大盘点，这些大事件你错过了吗？</t>
  </si>
  <si>
    <t>未通过</t>
  </si>
  <si>
    <t>年入26亿，这个中年男人捧红的鱼竿小作坊，拿捏着全球钓鱼佬</t>
  </si>
  <si>
    <t>15.3w</t>
  </si>
  <si>
    <t>拿捏着全球钓鱼佬</t>
  </si>
  <si>
    <t>审核未通过</t>
  </si>
  <si>
    <t>从收废铁到身家465亿，“2元20片退烧药”背后大BOOS，竟然是他？</t>
  </si>
  <si>
    <t>“2元20片退烧药”背后大BOOS</t>
  </si>
  <si>
    <t>汪小菲送上热搜的床垫，最贵卖超400万，这家企业凭什么？</t>
  </si>
  <si>
    <t>汪小菲送上热搜的床垫，最贵卖超400万</t>
  </si>
  <si>
    <t>10.9w</t>
  </si>
  <si>
    <t>1.1w</t>
  </si>
  <si>
    <t>卡塔尔最有权力的女人，执掌4610亿美元资产，王室真正的操盘手</t>
  </si>
  <si>
    <t>卡塔尔最有权力的女人</t>
  </si>
  <si>
    <t>14.2w</t>
  </si>
  <si>
    <t>进账75亿美元，烧钱的卡塔尔，赚钱的国际足联</t>
  </si>
  <si>
    <t>30.1w</t>
  </si>
  <si>
    <t>烧钱的卡塔尔，赚钱的国际足联</t>
  </si>
  <si>
    <t>年入8个小目标，顶级足球明星，到底有多赚钱？</t>
  </si>
  <si>
    <t>进账75亿美元，烧钱的卡塔尔，赚钱的国际足联</t>
  </si>
  <si>
    <t>汪小菲手撕大S，这“瓜”怎么吃？</t>
  </si>
  <si>
    <t>汪小菲手撕大S，这“瓜”怎么吃？</t>
  </si>
  <si>
    <t>15元一份意面，意大利版“沙县小吃”，靠“抠”年入百亿</t>
  </si>
  <si>
    <t>意大利版“沙县小吃”，靠“抠”年入百亿</t>
  </si>
  <si>
    <t>花3000亿美元，办史上最贵世界杯，卡塔尔到底多有钱？</t>
  </si>
  <si>
    <t>40.8w</t>
  </si>
  <si>
    <t>花3000亿美元，办史上最贵世界杯，卡塔尔到底多有钱？</t>
  </si>
  <si>
    <t>113w</t>
  </si>
  <si>
    <t>花3000亿美元，办史上最贵世界杯</t>
  </si>
  <si>
    <t>市值不足6亿，张朝阳直播物理课，搜狐还能翻盘吗？</t>
  </si>
  <si>
    <t>张朝阳直播物理课，搜狐能翻盘吗？</t>
  </si>
  <si>
    <t>功能饮料“红牛”创始人去世，靠“玩命”狂揽千亿身家</t>
  </si>
  <si>
    <t>“红牛”创始人去世，靠“玩命”狂揽千亿</t>
  </si>
  <si>
    <t>19.9w</t>
  </si>
  <si>
    <t>发布日期</t>
  </si>
  <si>
    <t>发布主题</t>
  </si>
  <si>
    <t>发布期数</t>
  </si>
  <si>
    <t>发布标题</t>
  </si>
  <si>
    <t>视频号</t>
  </si>
  <si>
    <t>抖音</t>
  </si>
  <si>
    <t>快手</t>
  </si>
  <si>
    <t>b站</t>
  </si>
  <si>
    <t>头条号</t>
  </si>
  <si>
    <t>微博</t>
  </si>
  <si>
    <t>腾讯视频</t>
  </si>
  <si>
    <t>百家</t>
  </si>
  <si>
    <t>企鹅</t>
  </si>
  <si>
    <t>单条各渠道播放总数</t>
  </si>
  <si>
    <t>观看</t>
  </si>
  <si>
    <t>点赞</t>
  </si>
  <si>
    <t>评论</t>
  </si>
  <si>
    <t>转发</t>
  </si>
  <si>
    <t>收藏</t>
  </si>
  <si>
    <t>播放</t>
  </si>
  <si>
    <t>播放</t>
  </si>
  <si>
    <t>播放</t>
  </si>
  <si>
    <t>播放量</t>
  </si>
  <si>
    <t>点赞</t>
  </si>
  <si>
    <t>评论</t>
  </si>
  <si>
    <t>阅读量</t>
  </si>
  <si>
    <t>播放量</t>
  </si>
  <si>
    <t>播放量</t>
  </si>
  <si>
    <t>播放量</t>
  </si>
  <si>
    <t>播放量</t>
  </si>
  <si>
    <t>创业邦100</t>
  </si>
  <si>
    <t>第二季第七集</t>
  </si>
  <si>
    <t>这家公司，让我们看到了AI与餐饮结合的未来</t>
  </si>
  <si>
    <t>京东、酷睿广告宣传</t>
  </si>
  <si>
    <t>藏在“准时送达”背后的秘密</t>
  </si>
  <si>
    <t>京东、酷睿广告宣传</t>
  </si>
  <si>
    <t>数字化HR管理背后的小秘密</t>
  </si>
  <si>
    <t>创业邦宣传</t>
  </si>
  <si>
    <t>历经15年沉淀，这个创投界舞台能给你什么？</t>
  </si>
  <si>
    <t>迈吉客宣传</t>
  </si>
  <si>
    <t xml:space="preserve">异次元偶像的“小秘密” </t>
  </si>
  <si>
    <t xml:space="preserve">DEMO CHINA</t>
  </si>
  <si>
    <t>你的成功几率是多少？</t>
  </si>
  <si>
    <t>创业邦100番外下</t>
  </si>
  <si>
    <t xml:space="preserve">我国智能制造进入误区？——投资人必看的正确认知 </t>
  </si>
  <si>
    <t>创业邦100番外上</t>
  </si>
  <si>
    <t>工业机器人现在入局还有机会吗——创业者必看的行业分析</t>
  </si>
  <si>
    <t>创业邦100</t>
  </si>
  <si>
    <t>第二季第六期</t>
  </si>
  <si>
    <t>融资4轮，1分没花，只为厚积薄发的工业机器人——卡诺普</t>
  </si>
  <si>
    <t>创业邦100</t>
  </si>
  <si>
    <t>第二季第五期</t>
  </si>
  <si>
    <t>工业软件探索者-三维家CEO</t>
  </si>
  <si>
    <t>知食派</t>
  </si>
  <si>
    <t>/</t>
  </si>
  <si>
    <t xml:space="preserve">风停的时侯怎么投资 投资人要走在创业者前面</t>
  </si>
  <si>
    <t>/</t>
  </si>
  <si>
    <t>/</t>
  </si>
  <si>
    <t>/</t>
  </si>
  <si>
    <t>知食派</t>
  </si>
  <si>
    <t>/</t>
  </si>
  <si>
    <t xml:space="preserve">智能化、数字化落地 人工智能的未来会怎样？</t>
  </si>
  <si>
    <t>/</t>
  </si>
  <si>
    <t>/</t>
  </si>
  <si>
    <t>/</t>
  </si>
  <si>
    <t>知食派</t>
  </si>
  <si>
    <t>/</t>
  </si>
  <si>
    <t>Z世代消费喜好出其不意</t>
  </si>
  <si>
    <t>/</t>
  </si>
  <si>
    <t>/</t>
  </si>
  <si>
    <t>/</t>
  </si>
  <si>
    <t>知食派</t>
  </si>
  <si>
    <t>/</t>
  </si>
  <si>
    <t>文娱发展的破与立</t>
  </si>
  <si>
    <t>/</t>
  </si>
  <si>
    <t>/</t>
  </si>
  <si>
    <t>/</t>
  </si>
  <si>
    <t>创业邦100</t>
  </si>
  <si>
    <t>第二季第四期</t>
  </si>
  <si>
    <t xml:space="preserve">无人船艇大航海时代头号玩家 ——张云飞</t>
  </si>
  <si>
    <t>未过审</t>
  </si>
  <si>
    <t>创业邦100</t>
  </si>
  <si>
    <t>第二季第三期亿航智能</t>
  </si>
  <si>
    <t>载人航天成就人类对宇宙的探索，自动驾驶飞行器让我们在城市立体空间自由穿行</t>
  </si>
  <si>
    <t>#REF!</t>
  </si>
  <si>
    <t>demo挖掘机</t>
  </si>
  <si>
    <t>特别篇</t>
  </si>
  <si>
    <t>当汽车成为你的生活空间能走多舒适</t>
  </si>
  <si>
    <t>\</t>
  </si>
  <si>
    <t>\</t>
  </si>
  <si>
    <t>\</t>
  </si>
  <si>
    <t>\</t>
  </si>
  <si>
    <t>创业邦100</t>
  </si>
  <si>
    <t>第二季特别篇</t>
  </si>
  <si>
    <t xml:space="preserve">与其空想不如实地探访 ——记众:UX原型座舱的诞生</t>
  </si>
  <si>
    <t>创业邦100</t>
  </si>
  <si>
    <t>第二季第二期极飞科技</t>
  </si>
  <si>
    <t>科技让你爱上种地</t>
  </si>
  <si>
    <t>创业邦100</t>
  </si>
  <si>
    <t>第二季第一期文远知行</t>
  </si>
  <si>
    <t xml:space="preserve">自动驾驶创业九死一生 临危受命的CTO如何转变成为合格CEO</t>
  </si>
  <si>
    <t>创业邦100</t>
  </si>
  <si>
    <t>第五期石墨G7</t>
  </si>
  <si>
    <t>失败12次“死磕”20年，清华学霸的物流梦</t>
  </si>
  <si>
    <t>创业邦100</t>
  </si>
  <si>
    <t>第四期石墨文档</t>
  </si>
  <si>
    <t>硅谷归来的双胞胎创业者——石墨文档的产品美学观</t>
  </si>
  <si>
    <t>2月1号</t>
  </si>
  <si>
    <t>demo挖掘机</t>
  </si>
  <si>
    <t>第九期·健身镜</t>
  </si>
  <si>
    <t>你想不到的健身神器</t>
  </si>
  <si>
    <t>2月3号</t>
  </si>
  <si>
    <t>创业邦100</t>
  </si>
  <si>
    <t>第二期猫王收音机曾德钧</t>
  </si>
  <si>
    <t>连续5次创业失败，“50后”老顽童终于成就潮玩爆品，曾德Jun讲述他和“猫王收音机”的故事</t>
  </si>
  <si>
    <t>2月8号</t>
  </si>
  <si>
    <t>demo挖掘机</t>
  </si>
  <si>
    <t>rap版预告成片（竖版）</t>
  </si>
  <si>
    <t>视频台词</t>
  </si>
  <si>
    <t>2月9号</t>
  </si>
  <si>
    <t>demo挖掘机</t>
  </si>
  <si>
    <t>正经预告</t>
  </si>
  <si>
    <t xml:space="preserve">浓浓年味，DEMO挖掘机倾情奉上 匠心独运花式过大年 “记得关注”不错过每天的小花式</t>
  </si>
  <si>
    <t>2月11号</t>
  </si>
  <si>
    <t>demo挖掘机</t>
  </si>
  <si>
    <t>大年三十</t>
  </si>
  <si>
    <t xml:space="preserve">哈喽大家春节好
DEMO挖掘机给大家拜年了
祝大家财如牛毛 牛气冲天 牛运无边
大年三十 一个人的年夜饭如何吃又省事？
这里教你不二小窍门
看看生鲜电商红海中涌出的订餐平台</t>
  </si>
  <si>
    <t>2月12号</t>
  </si>
  <si>
    <t>demo挖掘机</t>
  </si>
  <si>
    <t>大年初一</t>
  </si>
  <si>
    <t xml:space="preserve">大家过年好
DEMO挖掘机继续给大家拜年了
祝大家开门见喜 迎面来财 牛年大吉 牛转乾坤
大年初一父母逼婚了没？
今天教你解决单身难题
看看虚拟AI市场带来的便捷</t>
  </si>
  <si>
    <t>2月13号</t>
  </si>
  <si>
    <t>demo挖掘机</t>
  </si>
  <si>
    <t>大年初二</t>
  </si>
  <si>
    <t xml:space="preserve">哈喽 大年初二好
今天继续给大家拜年了
在外过年你爸妈想你了吗？
这次教大家如何把自己养成宠物送给爸妈
看看VR直播市场的魅力</t>
  </si>
  <si>
    <t>2月14号</t>
  </si>
  <si>
    <t>demo挖掘机</t>
  </si>
  <si>
    <t>大年初三</t>
  </si>
  <si>
    <t xml:space="preserve">情人节给大家介绍一个女朋友
一个有真情实感的人工智能
带你过一个不一样的节日</t>
  </si>
  <si>
    <t>2月15号</t>
  </si>
  <si>
    <t>demo挖掘机</t>
  </si>
  <si>
    <t>大年初四</t>
  </si>
  <si>
    <t xml:space="preserve">肝不动了如何给自己加个buff？
推荐一款功能性软糖
让你状态一整天</t>
  </si>
  <si>
    <t>2月16号</t>
  </si>
  <si>
    <t>demo挖掘机</t>
  </si>
  <si>
    <t>大年初五</t>
  </si>
  <si>
    <t xml:space="preserve">大年初五如何睡个舒心觉
呼噜打不停？睡醒还头晕？
DEMO挖掘机带你见识智能艾灸的神奇
让你睡个有科技感的安心觉</t>
  </si>
  <si>
    <t>2月17号</t>
  </si>
  <si>
    <t>demo挖掘机</t>
  </si>
  <si>
    <t>大年初六</t>
  </si>
  <si>
    <t xml:space="preserve">假期综合征袭来
怎样让状态重回巅峰？
代餐棒消毒手环
这里有你想不到的黑科技</t>
  </si>
  <si>
    <t>2月22号</t>
  </si>
  <si>
    <t>demo挖掘机</t>
  </si>
  <si>
    <t>第10期，3D打印</t>
  </si>
  <si>
    <t>自行车和人脸都可以3D打印，3D打印到底有多牛？看看骨科上的一项奇迹</t>
  </si>
  <si>
    <t>3月2号</t>
  </si>
  <si>
    <t>demo挖掘机</t>
  </si>
  <si>
    <t>第11期，大麻化妆品</t>
  </si>
  <si>
    <t>Du品为什么会出现在护肤品里？它会上瘾，烂脸吗？合不合法？</t>
  </si>
  <si>
    <t>3月5号</t>
  </si>
  <si>
    <t>demo挖掘机</t>
  </si>
  <si>
    <t>第12期，四季鞋</t>
  </si>
  <si>
    <t>一年四季都能穿的万能鞋，真的有必要穿吗？真相让人大跌眼镜！</t>
  </si>
  <si>
    <t>3月9号</t>
  </si>
  <si>
    <t>demo挖掘机</t>
  </si>
  <si>
    <t>第13期，口红</t>
  </si>
  <si>
    <t>口红生成器？佳琦的天敌要来了？</t>
  </si>
  <si>
    <t>3月10号</t>
  </si>
  <si>
    <t>创业邦100</t>
  </si>
  <si>
    <t>第三期任东医院</t>
  </si>
  <si>
    <t>左手家庭右手事业，“女超人”带领“男团”的创业之路</t>
  </si>
  <si>
    <t>发布日期</t>
  </si>
  <si>
    <t>发布标题</t>
  </si>
  <si>
    <t>视频号</t>
  </si>
  <si>
    <t>B站</t>
  </si>
  <si>
    <t>发布日期</t>
  </si>
  <si>
    <t>发布标题</t>
  </si>
  <si>
    <t>抖音</t>
  </si>
  <si>
    <t>快手</t>
  </si>
  <si>
    <t>头条</t>
  </si>
  <si>
    <t>百家</t>
  </si>
  <si>
    <t>企鹅</t>
  </si>
  <si>
    <t>播放</t>
  </si>
  <si>
    <t>点赞</t>
  </si>
  <si>
    <t>评论</t>
  </si>
  <si>
    <t>转发</t>
  </si>
  <si>
    <t>播放</t>
  </si>
  <si>
    <t>点赞</t>
  </si>
  <si>
    <t>评论</t>
  </si>
  <si>
    <t>转发</t>
  </si>
  <si>
    <t>播放量</t>
  </si>
  <si>
    <t>点赞</t>
  </si>
  <si>
    <t>评论</t>
  </si>
  <si>
    <t>播放量</t>
  </si>
  <si>
    <t>点赞</t>
  </si>
  <si>
    <t>评论</t>
  </si>
  <si>
    <t>播放量</t>
  </si>
  <si>
    <t>播放量</t>
  </si>
  <si>
    <t>播放量</t>
  </si>
  <si>
    <t>8月17号</t>
  </si>
  <si>
    <t>港交所前总裁李小加创业，帮助小微企业，尤努斯哪去了？</t>
  </si>
  <si>
    <t>港交所前总裁李小加创业，帮助小微企业，尤努斯哪去了？</t>
  </si>
  <si>
    <t>亏了1000亿的中国华融是啥公司？</t>
  </si>
  <si>
    <t>8月17号</t>
  </si>
  <si>
    <t xml:space="preserve">为什么女性创始人那么少？ 创业者怎么搭建人脉？</t>
  </si>
  <si>
    <t>为什么女性创始人那么少？</t>
  </si>
  <si>
    <t>创业者怎么搭建人脉？</t>
  </si>
  <si>
    <t>8月16号</t>
  </si>
  <si>
    <t>孙正义为什么暂停投资中国？</t>
  </si>
  <si>
    <t>孙正义为什么暂停投资中国？</t>
  </si>
  <si>
    <t>看了创业邦500强的文章，榜单还有哪些亮点？</t>
  </si>
  <si>
    <t>8月4号</t>
  </si>
  <si>
    <t>世界500强，为什么是按收入排名？</t>
  </si>
  <si>
    <t>看到世界500强，为什么是按收入排名？</t>
  </si>
  <si>
    <t>世界500强里，为什么只有6家是互联网公司？</t>
  </si>
  <si>
    <t>7月30号</t>
  </si>
  <si>
    <t>孙大午又出事了，企业家应该如何正确融资？</t>
  </si>
  <si>
    <t>孙大午又出事了，企业家应该如何正确融资？</t>
  </si>
  <si>
    <t>今后对平台经济和教育培训的监管，会蔓延到其它行业吗？</t>
  </si>
  <si>
    <t>7月26号</t>
  </si>
  <si>
    <t xml:space="preserve">应该怎么评价贾跃亭？ 瑞幸咖啡是不是又复活了？</t>
  </si>
  <si>
    <t>应该怎么评价贾跃亭？</t>
  </si>
  <si>
    <t>瑞幸咖啡是不是又复活了？</t>
  </si>
  <si>
    <t>7月20号</t>
  </si>
  <si>
    <t xml:space="preserve">滴滴事件之后 是不是中国公司赴美上市会受影响？</t>
  </si>
  <si>
    <t>滴滴事件之后，是不是中国公司赴美上市会受影响？</t>
  </si>
  <si>
    <t>很多美国的创业公司起源于车库，为什么？</t>
  </si>
  <si>
    <t>听说中国基本没有原创新药，都是仿制药，为什么</t>
  </si>
  <si>
    <t>7月13号</t>
  </si>
  <si>
    <t xml:space="preserve">创业者不想成为“老赖”，怎么办？ </t>
  </si>
  <si>
    <t>怎么看一家VC是否成功？</t>
  </si>
  <si>
    <t>创业者不想成为“老赖”，怎么办？</t>
  </si>
  <si>
    <t>7月8号</t>
  </si>
  <si>
    <t>资本的名声为什么越来越不好？</t>
  </si>
  <si>
    <t>贝索斯不当CEO了，亚马逊会继续对中国卖家封号吗？（不能提中国）</t>
  </si>
  <si>
    <t>资本的名声为什么越来越不好？</t>
  </si>
  <si>
    <t>7月7号</t>
  </si>
  <si>
    <t>为什么奈雪的茶这样的中国公司一上市就破发？</t>
  </si>
  <si>
    <t>为什么奈雪的茶这样的中国公司一上市就破发？（不能提中国）</t>
  </si>
  <si>
    <t>政府对刚上市的滴滴、满帮、BOSS直聘进行调查，怎么回事？（不能提政府）</t>
  </si>
  <si>
    <t>未通过</t>
  </si>
  <si>
    <t>未通过</t>
  </si>
  <si>
    <t>未通过</t>
  </si>
  <si>
    <t>6月28号</t>
  </si>
  <si>
    <t>国家管电子烟那么严，为什么还有人投资？</t>
  </si>
  <si>
    <t>国家管电子烟那么严，为什么还有人投资？（不能提国家）</t>
  </si>
  <si>
    <t>什么背景的创业者更容易做大？</t>
  </si>
  <si>
    <t>6月24号</t>
  </si>
  <si>
    <t xml:space="preserve">创业一段时间之后必须要融资吗？ 融资成功，能降低创业者的失败风险吗？</t>
  </si>
  <si>
    <t>创业一段时间之后必须要融资吗？</t>
  </si>
  <si>
    <t>融资成功，能降低创业者的失败风险吗？</t>
  </si>
  <si>
    <t>6月23号</t>
  </si>
  <si>
    <t xml:space="preserve">苏宁最近新闻不断，怎么回事？ 投资人为何错失自己领域的项目？</t>
  </si>
  <si>
    <t>投资人为何错失自己领域的项目？</t>
  </si>
  <si>
    <t>苏宁最近新闻不断，怎么回事？</t>
  </si>
  <si>
    <t>6月21号</t>
  </si>
  <si>
    <t xml:space="preserve">对大学生创业怎么看？ 企业家是塑造的还是天生的？</t>
  </si>
  <si>
    <t>6月23号</t>
  </si>
  <si>
    <t>大学生毕业就创业，真的好吗？</t>
  </si>
  <si>
    <t>6月21号</t>
  </si>
  <si>
    <t>创业创新能力可以培训吗？企业家是塑造的还是天生</t>
  </si>
  <si>
    <t>6月17号</t>
  </si>
  <si>
    <t xml:space="preserve">潘石屹把楼卖给黑石 投资基金也做地产？</t>
  </si>
  <si>
    <t>6月17号</t>
  </si>
  <si>
    <t>潘石屹卖了soho中国，套现近200亿</t>
  </si>
  <si>
    <t>6月22号</t>
  </si>
  <si>
    <t>一蜂窝造车，会不会资源浪费？</t>
  </si>
  <si>
    <t>6月16号</t>
  </si>
  <si>
    <t xml:space="preserve">雾芯科技和华兴资本在美国被起诉 是不是股价一跌就容易被起诉？</t>
  </si>
  <si>
    <t>6月21号</t>
  </si>
  <si>
    <t>黄峥和张一鸣这样的互联网大佬年纪轻轻就退居二线，公司还能成长吗？</t>
  </si>
  <si>
    <t>6月21号</t>
  </si>
  <si>
    <t>政府接连处罚在线教育公司，这是为什么（不能提政府））</t>
  </si>
  <si>
    <t>6月22号</t>
  </si>
  <si>
    <t>雾芯科技和华兴资本在美国被起诉，是不是股价一跌就容易被起诉？</t>
  </si>
  <si>
    <t>6月8号</t>
  </si>
  <si>
    <t xml:space="preserve">G7达成协议，对跨国公司征收15%所得税 是针对中国吗？</t>
  </si>
  <si>
    <t>6月9号</t>
  </si>
  <si>
    <t>私募大v叶飞实名举报，他提到的“市值管理”啥意思？</t>
  </si>
  <si>
    <t>未审核过</t>
  </si>
  <si>
    <t>6月10号</t>
  </si>
  <si>
    <t>文旅部批准外商可以独资设立娱乐场所，这是为啥？（不能提文旅部）</t>
  </si>
  <si>
    <t>被毙</t>
  </si>
  <si>
    <t>被毙</t>
  </si>
  <si>
    <t>被毙</t>
  </si>
  <si>
    <t>6月11号</t>
  </si>
  <si>
    <t>我的创业公司正在转型，怎么才能找到蓝海，少点竞争？</t>
  </si>
  <si>
    <t>6月3号</t>
  </si>
  <si>
    <t>叶飞说的市值管理是啥？</t>
  </si>
  <si>
    <t>6月3号</t>
  </si>
  <si>
    <t>私募大v叶飞实名举报，他提到的“市值管理”啥意思？（举报铭感）</t>
  </si>
  <si>
    <t>6月4号</t>
  </si>
  <si>
    <t>联想业绩那么好，为什么还有人黑联想</t>
  </si>
  <si>
    <t>6月7号</t>
  </si>
  <si>
    <t>上海奶茶店加盟骗局案，骗了7个多亿，加盟连锁还能考虑吗？</t>
  </si>
  <si>
    <t>平台</t>
  </si>
  <si>
    <t>阅读总量（单位w））</t>
  </si>
  <si>
    <t>粉丝数</t>
  </si>
  <si>
    <t>平台</t>
  </si>
  <si>
    <t>阅读总量（单位w））</t>
  </si>
  <si>
    <t>粉丝数</t>
  </si>
  <si>
    <t>3.5~3.11</t>
  </si>
  <si>
    <t>3.12~3.18</t>
  </si>
  <si>
    <t>3.5~3.11</t>
  </si>
  <si>
    <t>3.12~3.18</t>
  </si>
  <si>
    <t>3.5~3.11</t>
  </si>
  <si>
    <t>3.12~3.18</t>
  </si>
  <si>
    <t>3.5~3.11</t>
  </si>
  <si>
    <t>3.12~3.18</t>
  </si>
  <si>
    <t>视频号</t>
  </si>
  <si>
    <t>暂无记录</t>
  </si>
  <si>
    <t>暂无记录</t>
  </si>
  <si>
    <t>视频号</t>
  </si>
  <si>
    <t>快手</t>
  </si>
  <si>
    <t>暂无记录</t>
  </si>
  <si>
    <t>暂无记录</t>
  </si>
  <si>
    <t>快手</t>
  </si>
  <si>
    <t>抖音</t>
  </si>
  <si>
    <t>暂无记录</t>
  </si>
  <si>
    <t>暂无记录</t>
  </si>
  <si>
    <t>抖音</t>
  </si>
  <si>
    <t>B站</t>
  </si>
  <si>
    <t>暂无记录</t>
  </si>
  <si>
    <t>暂无记录</t>
  </si>
  <si>
    <t>B站</t>
  </si>
  <si>
    <t>原创视频总数：</t>
  </si>
  <si>
    <t>热点视频发布5篇</t>
  </si>
  <si>
    <t>平台</t>
  </si>
  <si>
    <t>阅读总量（单位w）</t>
  </si>
  <si>
    <t>粉丝数</t>
  </si>
  <si>
    <t>年度KR</t>
  </si>
  <si>
    <t>拆解到月度的KR</t>
  </si>
  <si>
    <t>4月完成情况</t>
  </si>
  <si>
    <t>微信</t>
  </si>
  <si>
    <t xml:space="preserve">KR1：流量：微信头条阅读2w+，全年阅读6000w+ ；视频单条单渠道播放超10w+（视频号、B站、抖音）,短视频生产至少20条/月；</t>
  </si>
  <si>
    <t xml:space="preserve">KR1：流量：微信头条阅读2w+，月度新增流量500w+ ；视频单条单渠道播放超10w+（视频号、B站、抖音）,短视频生产至少20条/月；</t>
  </si>
  <si>
    <t>weixinxinzengliul</t>
  </si>
  <si>
    <t>微博</t>
  </si>
  <si>
    <t>KR2：粉丝：微信粉丝到190w+；B站粉丝50w+；抖音粉丝100w+，视频号粉丝5w+；</t>
  </si>
  <si>
    <t>KR2：粉丝：微信粉丝到182w+；B站粉丝50w+；抖音粉丝100w+，视频号粉丝5w+；</t>
  </si>
  <si>
    <t>头条</t>
  </si>
  <si>
    <t xml:space="preserve">KR3：渠道：重点运营渠道10w+ 80篇（包含热点视频）</t>
  </si>
  <si>
    <t xml:space="preserve">KR3：渠道：重点运营渠道10w+ 80篇（包含热点视频）</t>
  </si>
  <si>
    <t>百家号</t>
  </si>
  <si>
    <t>KR4：网站和App日最高阅读超过5w</t>
  </si>
  <si>
    <t>/</t>
  </si>
  <si>
    <t>华为第一辆车来了！38.89万起步，充电10分钟续航197公里；比亚迪自曝多名员工贪污腐败；马斯克中标NASA登月项目丨邦早报</t>
  </si>
  <si>
    <t>网易号</t>
  </si>
  <si>
    <t>9.56w</t>
  </si>
  <si>
    <t>9.55w</t>
  </si>
  <si>
    <t>知乎</t>
  </si>
  <si>
    <t>大鱼号</t>
  </si>
  <si>
    <t>企鹅号</t>
  </si>
  <si>
    <t>33.9w</t>
  </si>
  <si>
    <t>33.9w</t>
  </si>
  <si>
    <t>搜狐号</t>
  </si>
  <si>
    <t>合计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</si>
  <si>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</si>
  <si>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</si>
  <si>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</si>
  <si>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</si>
  <si>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</si>
  <si>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</si>
  <si>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</si>
  <si>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</si>
  <si>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</si>
  <si>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</si>
  <si>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腾讯</t>
  </si>
  <si>
    <t>2022.Q4</t>
  </si>
  <si>
    <t>播放总数</t>
  </si>
  <si>
    <t>\</t>
  </si>
  <si>
    <t>互动总数</t>
  </si>
  <si>
    <t>粉丝净增</t>
  </si>
  <si>
    <t>\</t>
  </si>
  <si>
    <t>2022.Q2</t>
  </si>
  <si>
    <t>播放总数</t>
  </si>
  <si>
    <t>\</t>
  </si>
  <si>
    <t>互动总数</t>
  </si>
  <si>
    <t>粉丝净增</t>
  </si>
  <si>
    <t>\</t>
  </si>
  <si>
    <t>2023.Q1</t>
  </si>
  <si>
    <t>播放总数</t>
  </si>
  <si>
    <t>\</t>
  </si>
  <si>
    <t>互动总数</t>
  </si>
  <si>
    <t>\</t>
  </si>
  <si>
    <t>粉丝净增</t>
  </si>
  <si>
    <t>\</t>
  </si>
  <si>
    <t>2023.Q2</t>
  </si>
  <si>
    <t>播放总数</t>
  </si>
  <si>
    <t>\</t>
  </si>
  <si>
    <t>互动总数</t>
  </si>
  <si>
    <t>\</t>
  </si>
  <si>
    <t>粉丝净增</t>
  </si>
  <si>
    <t>\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</si>
  <si>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</si>
  <si>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</si>
  <si>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</si>
  <si>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</si>
  <si>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</si>
  <si>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</si>
  <si>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</si>
  <si>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</si>
  <si>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</si>
  <si>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</si>
  <si>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2024Q2</t>
  </si>
  <si>
    <t>播放总数</t>
  </si>
  <si>
    <t>互动总数</t>
  </si>
  <si>
    <t>粉丝净增</t>
  </si>
  <si>
    <t>发布日期</t>
  </si>
  <si>
    <t>发布栏目</t>
  </si>
  <si>
    <t>发布期数</t>
  </si>
  <si>
    <t>发布标题</t>
  </si>
  <si>
    <t>视频号</t>
  </si>
  <si>
    <t>头条</t>
  </si>
  <si>
    <t>百家</t>
  </si>
  <si>
    <t>企鹅</t>
  </si>
  <si>
    <t>单条各渠道播放总数</t>
  </si>
  <si>
    <t>观看</t>
  </si>
  <si>
    <t>点赞</t>
  </si>
  <si>
    <t>评论</t>
  </si>
  <si>
    <t>转发</t>
  </si>
  <si>
    <t>收藏</t>
  </si>
  <si>
    <t>播放量</t>
  </si>
  <si>
    <t>播放量</t>
  </si>
  <si>
    <t>播放量</t>
  </si>
  <si>
    <t>迈吉客宣传</t>
  </si>
  <si>
    <t>/</t>
  </si>
  <si>
    <t xml:space="preserve">异次元偶像的“小秘密” </t>
  </si>
  <si>
    <t xml:space="preserve">DEMO CHINA</t>
  </si>
  <si>
    <t>/</t>
  </si>
  <si>
    <t>你的成功几率是多少？</t>
  </si>
  <si>
    <t>创业邦100</t>
  </si>
  <si>
    <t>第二季第六期</t>
  </si>
  <si>
    <t>融资4轮，1分没花，只为厚积薄发的工业机器人——卡诺普</t>
  </si>
  <si>
    <t>demo挖掘机</t>
  </si>
  <si>
    <t>特别篇</t>
  </si>
  <si>
    <t>当汽车成为你的生活空间能走多舒适</t>
  </si>
  <si>
    <t>创业邦100</t>
  </si>
  <si>
    <t>第二季特别篇</t>
  </si>
  <si>
    <t xml:space="preserve">与其空想不如实地探访 ——记众:UX原型座舱的诞生</t>
  </si>
  <si>
    <t>创业邦100</t>
  </si>
  <si>
    <t>第二季第二期极飞科技</t>
  </si>
  <si>
    <t>科技让你爱上种地</t>
  </si>
  <si>
    <t>创业邦100</t>
  </si>
  <si>
    <t>第二季第一期文远知行</t>
  </si>
  <si>
    <t xml:space="preserve">自动驾驶创业九死一生 临危受命的CTO如何转变成为合格CEO</t>
  </si>
  <si>
    <t>创业邦100</t>
  </si>
  <si>
    <t>第五期石墨G7</t>
  </si>
  <si>
    <t>失败12次“死磕”20年，清华学霸的物流梦</t>
  </si>
  <si>
    <t>创业邦100</t>
  </si>
  <si>
    <t>第四期石墨文档</t>
  </si>
  <si>
    <t>硅谷归来的双胞胎创业者——石墨文档的产品美学观</t>
  </si>
  <si>
    <t>2月1号</t>
  </si>
  <si>
    <t>demo挖掘机</t>
  </si>
  <si>
    <t>第九期·健身镜</t>
  </si>
  <si>
    <t>你想不到的健身神器</t>
  </si>
  <si>
    <t>#REF!</t>
  </si>
  <si>
    <t>2月3号</t>
  </si>
  <si>
    <t>创业邦100</t>
  </si>
  <si>
    <t>第二期猫王收音机曾德钧</t>
  </si>
  <si>
    <t>连续5次创业失败，“50后”老顽童终于成就潮玩爆品，曾德Jun讲述他和“猫王收音机”的故事</t>
  </si>
  <si>
    <t>#REF!</t>
  </si>
  <si>
    <t>2月8号</t>
  </si>
  <si>
    <t>demo挖掘机</t>
  </si>
  <si>
    <t>rap版预告成片（竖版）</t>
  </si>
  <si>
    <t>视频台词</t>
  </si>
  <si>
    <t>#REF!</t>
  </si>
  <si>
    <t>2月9号</t>
  </si>
  <si>
    <t>demo挖掘机</t>
  </si>
  <si>
    <t>正经预告</t>
  </si>
  <si>
    <t xml:space="preserve">浓浓年味，DEMO挖掘机倾情奉上 匠心独运花式过大年 “记得关注”不错过每天的小花式</t>
  </si>
  <si>
    <t>#REF!</t>
  </si>
  <si>
    <t>2月11号</t>
  </si>
  <si>
    <t>demo挖掘机</t>
  </si>
  <si>
    <t>大年三十</t>
  </si>
  <si>
    <t xml:space="preserve">哈喽大家春节好
DEMO挖掘机给大家拜年了
祝大家财如牛毛 牛气冲天 牛运无边
大年三十 一个人的年夜饭如何吃又省事？
这里教你不二小窍门
看看生鲜电商红海中涌出的订餐平台</t>
  </si>
  <si>
    <t>#REF!</t>
  </si>
  <si>
    <t>2月12号</t>
  </si>
  <si>
    <t>demo挖掘机</t>
  </si>
  <si>
    <t>大年初一</t>
  </si>
  <si>
    <t xml:space="preserve">大家过年好
DEMO挖掘机继续给大家拜年了
祝大家开门见喜 迎面来财 牛年大吉 牛转乾坤
大年初一父母逼婚了没？
今天教你解决单身难题
看看虚拟AI市场带来的便捷</t>
  </si>
  <si>
    <t>#REF!</t>
  </si>
  <si>
    <t>2月13号</t>
  </si>
  <si>
    <t>demo挖掘机</t>
  </si>
  <si>
    <t>大年初二</t>
  </si>
  <si>
    <t xml:space="preserve">哈喽 大年初二好
今天继续给大家拜年了
在外过年你爸妈想你了吗？
这次教大家如何把自己养成宠物送给爸妈
看看VR直播市场的魅力</t>
  </si>
  <si>
    <t>#REF!</t>
  </si>
  <si>
    <t>2月14号</t>
  </si>
  <si>
    <t>demo挖掘机</t>
  </si>
  <si>
    <t>大年初三</t>
  </si>
  <si>
    <t xml:space="preserve">情人节给大家介绍一个女朋友
一个有真情实感的人工智能
带你过一个不一样的节日</t>
  </si>
  <si>
    <t>#REF!</t>
  </si>
  <si>
    <t>2月15号</t>
  </si>
  <si>
    <t>demo挖掘机</t>
  </si>
  <si>
    <t>大年初四</t>
  </si>
  <si>
    <t xml:space="preserve">肝不动了如何给自己加个buff？
推荐一款功能性软糖
让你状态一整天</t>
  </si>
  <si>
    <t>#REF!</t>
  </si>
  <si>
    <t>2月16号</t>
  </si>
  <si>
    <t>demo挖掘机</t>
  </si>
  <si>
    <t>大年初五</t>
  </si>
  <si>
    <t xml:space="preserve">大年初五如何睡个舒心觉
呼噜打不停？睡醒还头晕？
DEMO挖掘机带你见识智能艾灸的神奇
让你睡个有科技感的安心觉</t>
  </si>
  <si>
    <t>#REF!</t>
  </si>
  <si>
    <t>2月17号</t>
  </si>
  <si>
    <t>demo挖掘机</t>
  </si>
  <si>
    <t>大年初六</t>
  </si>
  <si>
    <t xml:space="preserve">假期综合征袭来
怎样让状态重回巅峰？
代餐棒消毒手环
这里有你想不到的黑科技</t>
  </si>
  <si>
    <t>#REF!</t>
  </si>
  <si>
    <t>2月22号</t>
  </si>
  <si>
    <t>demo挖掘机</t>
  </si>
  <si>
    <t>第10期，3D打印</t>
  </si>
  <si>
    <t>自行车和人脸都可以3D打印，3D打印到底有多牛？看看骨科上的一项奇迹</t>
  </si>
  <si>
    <t>#REF!</t>
  </si>
  <si>
    <t>3月2号</t>
  </si>
  <si>
    <t>demo挖掘机</t>
  </si>
  <si>
    <t>第11期，大麻化妆品</t>
  </si>
  <si>
    <t>Du品为什么会出现在护肤品里？它会上瘾，烂脸吗？合不合法？</t>
  </si>
  <si>
    <t>#REF!</t>
  </si>
  <si>
    <t>3月5号</t>
  </si>
  <si>
    <t>demo挖掘机</t>
  </si>
  <si>
    <t>第12期，四季鞋</t>
  </si>
  <si>
    <t>一年四季都能穿的万能鞋，真的有必要穿吗？真相让人大跌眼镜！</t>
  </si>
  <si>
    <t>#REF!</t>
  </si>
  <si>
    <t>3月9号</t>
  </si>
  <si>
    <t>demo挖掘机</t>
  </si>
  <si>
    <t>第13期，口红</t>
  </si>
  <si>
    <t>口红生成器？佳琦的天敌要来了？</t>
  </si>
  <si>
    <t>#REF!</t>
  </si>
  <si>
    <t>3月10号</t>
  </si>
  <si>
    <t>创业邦100</t>
  </si>
  <si>
    <t>第三期任东医院</t>
  </si>
  <si>
    <t>左手家庭右手事业，“女超人”带领“男团”的创业之路</t>
  </si>
  <si>
    <t>#REF!</t>
  </si>
  <si>
    <t>#REF!</t>
  </si>
  <si>
    <t>发布日期</t>
  </si>
  <si>
    <t>发布标题</t>
  </si>
  <si>
    <t>视频号</t>
  </si>
  <si>
    <t>B站</t>
  </si>
  <si>
    <t>抖音</t>
  </si>
  <si>
    <t>快手</t>
  </si>
  <si>
    <t>头条</t>
  </si>
  <si>
    <t>百家</t>
  </si>
  <si>
    <t>企鹅</t>
  </si>
  <si>
    <t>播放</t>
  </si>
  <si>
    <t>点赞</t>
  </si>
  <si>
    <t>评论</t>
  </si>
  <si>
    <t>转发</t>
  </si>
  <si>
    <t>播放</t>
  </si>
  <si>
    <t>点赞</t>
  </si>
  <si>
    <t>评论</t>
  </si>
  <si>
    <t>转发</t>
  </si>
  <si>
    <t>播放量</t>
  </si>
  <si>
    <t>点赞</t>
  </si>
  <si>
    <t>评论</t>
  </si>
  <si>
    <t>播放量</t>
  </si>
  <si>
    <t>点赞</t>
  </si>
  <si>
    <t>评论</t>
  </si>
  <si>
    <t>播放量</t>
  </si>
  <si>
    <t>播放量</t>
  </si>
  <si>
    <t>播放量</t>
  </si>
  <si>
    <t>8月17号</t>
  </si>
  <si>
    <t xml:space="preserve">为什么女性创始人那么少？ 创业者怎么搭建人脉？</t>
  </si>
  <si>
    <t>/</t>
  </si>
  <si>
    <t>/</t>
  </si>
  <si>
    <t>/</t>
  </si>
  <si>
    <t>/</t>
  </si>
  <si>
    <t>/</t>
  </si>
  <si>
    <t>/</t>
  </si>
  <si>
    <t>/</t>
  </si>
  <si>
    <t>8月16号</t>
  </si>
  <si>
    <t>孙正义为什么暂停投资中国？</t>
  </si>
  <si>
    <t>/</t>
  </si>
  <si>
    <t>/</t>
  </si>
  <si>
    <t>/</t>
  </si>
  <si>
    <t>头条</t>
  </si>
  <si>
    <t>百家号</t>
  </si>
  <si>
    <t>网易号</t>
  </si>
  <si>
    <t>9.91w</t>
  </si>
  <si>
    <t>9.9w</t>
  </si>
  <si>
    <t>知乎</t>
  </si>
  <si>
    <t>大鱼号</t>
  </si>
  <si>
    <t>企鹅号</t>
  </si>
  <si>
    <t>34.2w</t>
  </si>
  <si>
    <t>34.2w</t>
  </si>
  <si>
    <t>搜狐号</t>
  </si>
  <si>
    <t>合计</t>
  </si>
  <si>
    <t>发布日期</t>
  </si>
  <si>
    <t>标题</t>
  </si>
  <si>
    <t>微博</t>
  </si>
  <si>
    <t>B站</t>
  </si>
  <si>
    <t>视频号</t>
  </si>
  <si>
    <t>抖音</t>
  </si>
  <si>
    <t>快手</t>
  </si>
  <si>
    <t>腾讯视频</t>
  </si>
  <si>
    <t>头条</t>
  </si>
  <si>
    <t>百家号</t>
  </si>
  <si>
    <t>企鹅号</t>
  </si>
  <si>
    <t>知乎</t>
  </si>
  <si>
    <t>合计播放</t>
  </si>
  <si>
    <t>内容</t>
  </si>
  <si>
    <t>阅读量</t>
  </si>
  <si>
    <t>播放量</t>
  </si>
  <si>
    <t>播放量</t>
  </si>
  <si>
    <t>播放量</t>
  </si>
  <si>
    <t>播放量</t>
  </si>
  <si>
    <t>涨粉数</t>
  </si>
  <si>
    <t>转化率</t>
  </si>
  <si>
    <t>播放量</t>
  </si>
  <si>
    <t>播放量</t>
  </si>
  <si>
    <t>播放量</t>
  </si>
  <si>
    <t>播放量</t>
  </si>
  <si>
    <t>播放量</t>
  </si>
  <si>
    <t>播放量</t>
  </si>
  <si>
    <t>未过审</t>
  </si>
  <si>
    <t>鱿鱼币骗局落幕！疯涨了286100倍之后直接归零</t>
  </si>
  <si>
    <t>/</t>
  </si>
  <si>
    <t>豪掷360亿！可口可乐史上最大收购，买断科比投资饮料</t>
  </si>
  <si>
    <t>4</t>
  </si>
  <si>
    <t>220677</t>
  </si>
  <si>
    <t>这个90后创始人有点猛，卖美瞳一年销售破2亿</t>
  </si>
  <si>
    <t>126</t>
  </si>
  <si>
    <t>233581</t>
  </si>
  <si>
    <t>沙县小吃，牛得很！</t>
  </si>
  <si>
    <t>39</t>
  </si>
  <si>
    <t>396621</t>
  </si>
  <si>
    <t>金嗓子即将退市！成也江老娘败也江老娘</t>
  </si>
  <si>
    <t>196</t>
  </si>
  <si>
    <t>216554</t>
  </si>
  <si>
    <t>80后清北学霸夫妻网上卖衣服，年赚一亿把公司做上市了！</t>
  </si>
  <si>
    <t>414</t>
  </si>
  <si>
    <t>163355</t>
  </si>
  <si>
    <t>李云迪“塌房”，商业损失有多大？</t>
  </si>
  <si>
    <t>#REF!</t>
  </si>
  <si>
    <t>历经“卖身”和“破产”，维密终于上市了！</t>
  </si>
  <si>
    <t>#REF!</t>
  </si>
  <si>
    <t>用周杰伦名头卖“减肥咖啡”，如今要上市了</t>
  </si>
  <si>
    <t>#REF!</t>
  </si>
  <si>
    <t>10.8-10.14</t>
  </si>
  <si>
    <t>10.15-10.21</t>
  </si>
  <si>
    <t>李书福要做手机了,手机汽车跨界内卷?</t>
  </si>
  <si>
    <t>#REF!</t>
  </si>
  <si>
    <t>9.89w</t>
  </si>
  <si>
    <t>份子钱，互相打劫？</t>
  </si>
  <si>
    <t>#REF!</t>
  </si>
  <si>
    <t>吴京再次出圈，国庆档《长津湖》“杀”疯了</t>
  </si>
  <si>
    <t>#REF!</t>
  </si>
  <si>
    <t>粉丝数</t>
  </si>
  <si>
    <t>十月上海最火的“女明星”，有人为她排队7小时</t>
  </si>
  <si>
    <t>#REF!</t>
  </si>
  <si>
    <t>历经“卖身”和“破产”，维密终于上市了！</t>
  </si>
  <si>
    <t>女乔布斯变女神棍？她靠一滴血骗了600亿</t>
  </si>
  <si>
    <t>#REF!</t>
  </si>
  <si>
    <t>90后华为百万年薪天才，造机械手臂给葡萄缝针</t>
  </si>
  <si>
    <t>3039</t>
  </si>
  <si>
    <t>#REF!</t>
  </si>
  <si>
    <t>孩子王上市！一家会“创造企业的企业”将拿下2个IPO</t>
  </si>
  <si>
    <t>#REF!</t>
  </si>
  <si>
    <t>变形金刚、小猪佩奇的“老板”去世，年仅58岁</t>
  </si>
  <si>
    <t>#REF!</t>
  </si>
  <si>
    <t>威马将获超3亿美元融资，赌王家族的她也出手了</t>
  </si>
  <si>
    <t>#REF!</t>
  </si>
  <si>
    <t>4.23-4.29</t>
  </si>
  <si>
    <t>4.16-4.22</t>
  </si>
  <si>
    <t>从小摊贩到年入18亿，水果大王闯关IPO</t>
  </si>
  <si>
    <t>#REF!</t>
  </si>
  <si>
    <t>宁德时代再出手，19亿拿下一家加拿大企业！</t>
  </si>
  <si>
    <t>#REF!</t>
  </si>
  <si>
    <t>发布日期</t>
  </si>
  <si>
    <t>标题</t>
  </si>
  <si>
    <t>B站</t>
  </si>
  <si>
    <t>视频号</t>
  </si>
  <si>
    <t>抖音</t>
  </si>
  <si>
    <t>快手</t>
  </si>
  <si>
    <t>头条</t>
  </si>
  <si>
    <t>百家号</t>
  </si>
  <si>
    <t>企鹅号</t>
  </si>
  <si>
    <t>视频号</t>
  </si>
  <si>
    <t>抖音</t>
  </si>
  <si>
    <t>快手</t>
  </si>
  <si>
    <t>小红书</t>
  </si>
  <si>
    <t>腾讯视频</t>
  </si>
  <si>
    <t>头条</t>
  </si>
  <si>
    <t>百家号</t>
  </si>
  <si>
    <t>企鹅号</t>
  </si>
  <si>
    <t>网易号</t>
  </si>
  <si>
    <t>知乎</t>
  </si>
  <si>
    <t>单条累计播放</t>
  </si>
  <si>
    <t>内容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</si>
  <si>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</si>
  <si>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</si>
  <si>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</si>
  <si>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</si>
  <si>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</si>
  <si>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</si>
  <si>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</si>
  <si>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</si>
  <si>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点赞</t>
  </si>
  <si>
    <t>评论</t>
  </si>
  <si>
    <t>转发</t>
  </si>
  <si>
    <t>播放量</t>
  </si>
  <si>
    <t>点赞</t>
  </si>
  <si>
    <t>评论</t>
  </si>
  <si>
    <t>涨粉数</t>
  </si>
  <si>
    <t>转化率</t>
  </si>
  <si>
    <t>播放量</t>
  </si>
  <si>
    <t>点赞</t>
  </si>
  <si>
    <t>评论</t>
  </si>
  <si>
    <t>人均播放时长</t>
  </si>
  <si>
    <t>标题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</si>
  <si>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</si>
  <si>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</si>
  <si>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</si>
  <si>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</si>
  <si>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</si>
  <si>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</si>
  <si>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</si>
  <si>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沙县小吃，牛得很！（福建沙县）</t>
  </si>
  <si>
    <t xml:space="preserve">江西最穷县，诞生4600个富豪，秘诀竟然是... （江西资溪）</t>
  </si>
  <si>
    <t>世界假发之都河南假发，如何统治世界？（河南许昌）</t>
  </si>
  <si>
    <t xml:space="preserve">骗了全世界100多年的钻石信仰，终于在中国河南“败北” （河南）</t>
  </si>
  <si>
    <t>未过审</t>
  </si>
  <si>
    <t>未过审</t>
  </si>
  <si>
    <t>发布日期</t>
  </si>
  <si>
    <t>标题</t>
  </si>
  <si>
    <t>微博</t>
  </si>
  <si>
    <t>B站</t>
  </si>
  <si>
    <t>视频号</t>
  </si>
  <si>
    <t>抖音</t>
  </si>
  <si>
    <t>快手</t>
  </si>
  <si>
    <t>头条</t>
  </si>
  <si>
    <t>百家号</t>
  </si>
  <si>
    <t>企鹅号</t>
  </si>
  <si>
    <t>网易号</t>
  </si>
  <si>
    <t>知乎</t>
  </si>
  <si>
    <t>单条累计播放</t>
  </si>
  <si>
    <t>小红书</t>
  </si>
  <si>
    <t>快手</t>
  </si>
  <si>
    <t>小红书</t>
  </si>
  <si>
    <t>腾讯视频</t>
  </si>
  <si>
    <t>头条</t>
  </si>
  <si>
    <t>百家号</t>
  </si>
  <si>
    <t>企鹅号</t>
  </si>
  <si>
    <t>网易号</t>
  </si>
  <si>
    <t>知乎</t>
  </si>
  <si>
    <t>单条累计播放</t>
  </si>
  <si>
    <t>内容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</si>
  <si>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</si>
  <si>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</si>
  <si>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</si>
  <si>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</si>
  <si>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</si>
  <si>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</si>
  <si>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</si>
  <si>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</si>
  <si>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</si>
  <si>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</si>
  <si>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标题</t>
  </si>
  <si>
    <t>播放量</t>
  </si>
  <si>
    <t>点赞</t>
  </si>
  <si>
    <t>评论</t>
  </si>
  <si>
    <t>涨粉数</t>
  </si>
  <si>
    <t>转化率</t>
  </si>
  <si>
    <t>播放量</t>
  </si>
  <si>
    <t>点赞</t>
  </si>
  <si>
    <t>评论</t>
  </si>
  <si>
    <t>人均播放时长</t>
  </si>
  <si>
    <t>标题</t>
  </si>
  <si>
    <t>播放量</t>
  </si>
  <si>
    <t>播放量</t>
  </si>
  <si>
    <t>播放量</t>
  </si>
  <si>
    <t>播放量</t>
  </si>
  <si>
    <t>播放量</t>
  </si>
  <si>
    <t>播放量</t>
  </si>
  <si>
    <t>播放量</t>
  </si>
  <si>
    <t>俄罗斯首富野蛮发家史！陪遛狗的人身家都超10亿英镑</t>
  </si>
  <si>
    <t>80后女生开奶茶店，一年卖36亿</t>
  </si>
  <si>
    <t>1分41秒</t>
  </si>
  <si>
    <t>80后女生开奶茶店，一年卖36亿</t>
  </si>
  <si>
    <t>俄罗斯裔天才，24岁创立搜索帝国，现年营收超万亿！</t>
  </si>
  <si>
    <t>俄罗斯最年轻富豪，20多岁身家2.6亿美元</t>
  </si>
  <si>
    <t>48秒</t>
  </si>
  <si>
    <t>俄罗斯最年轻富豪，20多岁身家2.6亿美元</t>
  </si>
  <si>
    <t>俄罗斯最年轻富豪，20多岁身家2.6亿美元，敢正面叫板普京</t>
  </si>
  <si>
    <t>80后女生，每天做饭拍视频，把公司做上市了！</t>
  </si>
  <si>
    <t>1分11秒</t>
  </si>
  <si>
    <t>/</t>
  </si>
  <si>
    <t>/</t>
  </si>
  <si>
    <t>俄罗斯资本王者！曾被刘强东误以为是骗子</t>
  </si>
  <si>
    <t>/</t>
  </si>
  <si>
    <t>90后女生，爱好漫画，做出估值超160亿公司</t>
  </si>
  <si>
    <t>44秒</t>
  </si>
  <si>
    <t>80后女生，每天做饭拍视频，把公司做上市了！</t>
  </si>
  <si>
    <t>换头大佬毛戈平，把国货彩妆做上市了</t>
  </si>
  <si>
    <t>俄罗斯裔天才，24岁创立搜索帝国，现年营收超万亿！</t>
  </si>
  <si>
    <t>河南人造钻石统领全球！你还爱钻石吗？</t>
  </si>
  <si>
    <t>48秒</t>
  </si>
  <si>
    <t>俄罗斯最年轻富豪，20多岁身家2.6亿美元</t>
  </si>
  <si>
    <t>俄罗斯最年轻富豪，20多岁身家2.6亿美元，敢正面叫板普京</t>
  </si>
  <si>
    <t>35岁B站副董事长嫁24岁up主，身家80亿</t>
  </si>
  <si>
    <t>1分11秒</t>
  </si>
  <si>
    <t>/</t>
  </si>
  <si>
    <t>/</t>
  </si>
  <si>
    <t>河南夫妻卖真爱钻戒，一年营收25亿</t>
  </si>
  <si>
    <t>发布日期</t>
  </si>
  <si>
    <t>标题</t>
  </si>
  <si>
    <t>微博</t>
  </si>
  <si>
    <t>B站</t>
  </si>
  <si>
    <t>视频号</t>
  </si>
  <si>
    <t>抖音</t>
  </si>
  <si>
    <t>快手</t>
  </si>
  <si>
    <t>头条</t>
  </si>
  <si>
    <t>百家号</t>
  </si>
  <si>
    <t>企鹅号</t>
  </si>
  <si>
    <t>知乎</t>
  </si>
  <si>
    <t>单条累计播放</t>
  </si>
  <si>
    <t>小红书</t>
  </si>
  <si>
    <t>快手</t>
  </si>
  <si>
    <t>小红书</t>
  </si>
  <si>
    <t>腾讯视频</t>
  </si>
  <si>
    <t>头条</t>
  </si>
  <si>
    <t>百家号</t>
  </si>
  <si>
    <t>企鹅号</t>
  </si>
  <si>
    <t>知乎</t>
  </si>
  <si>
    <t>单条累计播放</t>
  </si>
  <si>
    <t>内容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</si>
  <si>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</si>
  <si>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</si>
  <si>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</si>
  <si>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</si>
  <si>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</si>
  <si>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</si>
  <si>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</si>
  <si>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</si>
  <si>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</si>
  <si>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标题</t>
  </si>
  <si>
    <t>播放量</t>
  </si>
  <si>
    <t>转化率</t>
  </si>
  <si>
    <t>播放量</t>
  </si>
  <si>
    <t>点赞</t>
  </si>
  <si>
    <t>评论</t>
  </si>
  <si>
    <t>人均播放时长</t>
  </si>
  <si>
    <t>标题</t>
  </si>
  <si>
    <t>播放量</t>
  </si>
  <si>
    <t>播放量</t>
  </si>
  <si>
    <t>播放量</t>
  </si>
  <si>
    <t>播放量</t>
  </si>
  <si>
    <t>播放量</t>
  </si>
  <si>
    <t>播放量</t>
  </si>
  <si>
    <t>90后女生，爱好漫画，做出一家超160亿估值公司</t>
  </si>
  <si>
    <t>90后女生，爱好漫画，做出估值超160亿公司</t>
  </si>
  <si>
    <t>49秒</t>
  </si>
  <si>
    <t>90后女生，爱好漫画，做出估值超160亿公司</t>
  </si>
  <si>
    <t>打工人逆袭！海底捞“最牛服务员”变CEO</t>
  </si>
  <si>
    <t>换头大佬毛戈平，把国货彩妆做上市了</t>
  </si>
  <si>
    <t>换头大佬毛戈平，把国货彩妆做上市了</t>
  </si>
  <si>
    <t>/</t>
  </si>
  <si>
    <t xml:space="preserve">大众割肉， “汽车史上最大IPO”要来了！</t>
  </si>
  <si>
    <t>河南人造钻石统领全球！你还爱钻石吗？</t>
  </si>
  <si>
    <t>河南人造钻石统领全球！你还爱钻石吗？</t>
  </si>
  <si>
    <t>冬奥“冰瀑屏”背后，是一家估值300亿的芯片独角兽</t>
  </si>
  <si>
    <t>35岁副董事长嫁24岁up主，身家80亿</t>
  </si>
  <si>
    <t>35岁副董事长嫁24岁up主，身家80亿</t>
  </si>
  <si>
    <t>一张卡牌8000万，暴利背后的生意经</t>
  </si>
  <si>
    <t>河南夫妻卖真爱钻戒，一年营收25亿</t>
  </si>
  <si>
    <t>河南夫妻卖真爱钻戒，一年营收25亿</t>
  </si>
  <si>
    <t>发布日期</t>
  </si>
  <si>
    <t>标题</t>
  </si>
  <si>
    <t>微博</t>
  </si>
  <si>
    <t>视频号</t>
  </si>
  <si>
    <t>抖音</t>
  </si>
  <si>
    <t>快手</t>
  </si>
  <si>
    <t>头条</t>
  </si>
  <si>
    <t>百家号</t>
  </si>
  <si>
    <t>企鹅号</t>
  </si>
  <si>
    <t>知乎</t>
  </si>
  <si>
    <t>单条累计播放</t>
  </si>
  <si>
    <t>单条累计播放</t>
  </si>
  <si>
    <t>单条累计播放</t>
  </si>
  <si>
    <t>内容</t>
  </si>
  <si>
    <t>播放量</t>
  </si>
  <si>
    <t>播放量</t>
  </si>
  <si>
    <t>播放量</t>
  </si>
  <si>
    <t>播放量</t>
  </si>
  <si>
    <t>播放量</t>
  </si>
  <si>
    <t>播放量</t>
  </si>
  <si>
    <t>播放量</t>
  </si>
  <si>
    <t>给普京种草的90后天才，4岁学编程，19岁成亿万富翁</t>
  </si>
  <si>
    <t>“土坑酸菜”让白象又被扒，1/3员工是残疾人，拒绝日资</t>
  </si>
  <si>
    <t>全球最壕女歌手，将拿下一个IPO！</t>
  </si>
  <si>
    <t>山东老板，卖豪华游艇年营收3000亿，如今要上市了</t>
  </si>
  <si>
    <t>浙江大佬，靠空气炸锅，做出一家年入10亿的上市公司</t>
  </si>
  <si>
    <t>80后女性，一手捧红“王一博”，做出一家上市公司！</t>
  </si>
  <si>
    <t>微博</t>
  </si>
  <si>
    <t>B站</t>
  </si>
  <si>
    <t>视频号</t>
  </si>
  <si>
    <t>抖音</t>
  </si>
  <si>
    <t>快手</t>
  </si>
  <si>
    <t>小红书</t>
  </si>
  <si>
    <t>腾讯</t>
  </si>
  <si>
    <t>头条</t>
  </si>
  <si>
    <t>百家</t>
  </si>
  <si>
    <t>企鹅</t>
  </si>
  <si>
    <t>知乎</t>
  </si>
  <si>
    <t>3.18~3.24</t>
  </si>
  <si>
    <t>播放总数</t>
  </si>
  <si>
    <t>3.11~3.17</t>
  </si>
  <si>
    <t>播放总数</t>
  </si>
  <si>
    <t>周期</t>
  </si>
  <si>
    <t>发布日期</t>
  </si>
  <si>
    <t>标题</t>
  </si>
  <si>
    <t>微博</t>
  </si>
  <si>
    <t>B站</t>
  </si>
  <si>
    <t>视频号</t>
  </si>
  <si>
    <t>抖音</t>
  </si>
  <si>
    <t>快手</t>
  </si>
  <si>
    <t>小红书</t>
  </si>
  <si>
    <t>腾讯视频</t>
  </si>
  <si>
    <t>头条</t>
  </si>
  <si>
    <t>百家号</t>
  </si>
  <si>
    <t>企鹅号</t>
  </si>
  <si>
    <t>网易号</t>
  </si>
  <si>
    <t>知乎</t>
  </si>
  <si>
    <t>单条累计播放</t>
  </si>
  <si>
    <t>内容</t>
  </si>
  <si>
    <t>阅读量</t>
  </si>
  <si>
    <t>播放量</t>
  </si>
  <si>
    <t>播放量</t>
  </si>
  <si>
    <t>点赞</t>
  </si>
  <si>
    <t>评论</t>
  </si>
  <si>
    <t>转发</t>
  </si>
  <si>
    <t>播放量</t>
  </si>
  <si>
    <t>点赞</t>
  </si>
  <si>
    <t>评论</t>
  </si>
  <si>
    <t>转发</t>
  </si>
  <si>
    <t>播放量</t>
  </si>
  <si>
    <t>点赞</t>
  </si>
  <si>
    <t>评论</t>
  </si>
  <si>
    <t>涨粉数</t>
  </si>
  <si>
    <t>转化率</t>
  </si>
  <si>
    <t>播放量</t>
  </si>
  <si>
    <t>点赞</t>
  </si>
  <si>
    <t>评论</t>
  </si>
  <si>
    <t>人均播放时长</t>
  </si>
  <si>
    <t>标题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</si>
  <si>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</si>
  <si>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</si>
  <si>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</si>
  <si>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</si>
  <si>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</si>
  <si>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</si>
  <si>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</si>
  <si>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沙县小吃，牛得很！</t>
  </si>
  <si>
    <t xml:space="preserve">江西最穷县，诞生4600个富豪，秘诀竟然是... </t>
  </si>
  <si>
    <t>世界假发之都河南假发，如何统治世界？</t>
  </si>
  <si>
    <t xml:space="preserve">骗了全世界100多年的钻石信仰，终于在中国河南“败北” </t>
  </si>
  <si>
    <t>未过审</t>
  </si>
  <si>
    <t>微博</t>
  </si>
  <si>
    <t>B站</t>
  </si>
  <si>
    <t>视频号</t>
  </si>
  <si>
    <t>抖音</t>
  </si>
  <si>
    <t>快手</t>
  </si>
  <si>
    <t>小红书</t>
  </si>
  <si>
    <t>腾讯</t>
  </si>
  <si>
    <t>头条</t>
  </si>
  <si>
    <t>百家</t>
  </si>
  <si>
    <t>企鹅</t>
  </si>
  <si>
    <t>知乎</t>
  </si>
  <si>
    <t>微博</t>
  </si>
  <si>
    <t>B站</t>
  </si>
  <si>
    <t>视频号</t>
  </si>
  <si>
    <t>抖音</t>
  </si>
  <si>
    <t>快手</t>
  </si>
  <si>
    <t>头条</t>
  </si>
  <si>
    <t>百家</t>
  </si>
  <si>
    <t>企鹅</t>
  </si>
  <si>
    <t>知乎</t>
  </si>
  <si>
    <t>知乎</t>
  </si>
  <si>
    <t xml:space="preserve">2022 Q1</t>
  </si>
  <si>
    <t>播放总数</t>
  </si>
  <si>
    <t>粉丝净增</t>
  </si>
  <si>
    <t>净增</t>
  </si>
  <si>
    <t>同比增长</t>
  </si>
  <si>
    <t>微信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</si>
  <si>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</si>
  <si>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</si>
  <si>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</si>
  <si>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</si>
  <si>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</si>
  <si>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</si>
  <si>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</si>
  <si>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</si>
  <si>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</si>
  <si>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</si>
  <si>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发布日期</t>
  </si>
  <si>
    <t>标题</t>
  </si>
  <si>
    <t>单条累计播放</t>
  </si>
  <si>
    <t>视频号</t>
  </si>
  <si>
    <t>抖音</t>
  </si>
  <si>
    <t>快手</t>
  </si>
  <si>
    <t>小红书</t>
  </si>
  <si>
    <t>微博</t>
  </si>
  <si>
    <t>B站</t>
  </si>
  <si>
    <t>头条</t>
  </si>
  <si>
    <t>百家号</t>
  </si>
  <si>
    <t>企鹅号</t>
  </si>
  <si>
    <t>知乎</t>
  </si>
  <si>
    <t>内容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</si>
  <si>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</si>
  <si>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</si>
  <si>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</si>
  <si>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</si>
  <si>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</si>
  <si>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</si>
  <si>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</si>
  <si>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</si>
  <si>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</si>
  <si>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播放量</t>
  </si>
  <si>
    <t>单款年销2000万杯，“东方星巴克”海外狂开店</t>
  </si>
  <si>
    <t>又一“传奇”落幕，他靠小笼包征服世界</t>
  </si>
  <si>
    <t>这个小县城，承包了全国90%的辣条</t>
  </si>
  <si>
    <t>山西最牛便利店，2000多家门店，年入47亿</t>
  </si>
  <si>
    <t>小众创客“军火商”，抓住风口猛赚2亿</t>
  </si>
  <si>
    <t>日期</t>
  </si>
  <si>
    <t>选题</t>
  </si>
  <si>
    <r>
      <t>B</t>
    </r>
    <r>
      <rPr>
        <rFont val="宋体"/>
      </rPr>
      <t>站</t>
    </r>
  </si>
  <si>
    <t>视频号</t>
  </si>
  <si>
    <t>抖音</t>
  </si>
  <si>
    <t>快手</t>
  </si>
  <si>
    <t>小红书</t>
  </si>
  <si>
    <t>头条</t>
  </si>
  <si>
    <t>百家</t>
  </si>
  <si>
    <t>企鹅</t>
  </si>
  <si>
    <t>观夏</t>
  </si>
  <si>
    <t xml:space="preserve">Sora新视频只发TikTok：
OpenAI 4天涨粉10万</t>
  </si>
  <si>
    <t>/</t>
  </si>
  <si>
    <t>/</t>
  </si>
  <si>
    <t>Gumroad</t>
  </si>
  <si>
    <t>sora</t>
  </si>
  <si>
    <t>相同指令下，不同视频模型的表现</t>
  </si>
  <si>
    <t>/</t>
  </si>
  <si>
    <t>/</t>
  </si>
  <si>
    <t>日期</t>
  </si>
  <si>
    <r>
      <t>B</t>
    </r>
    <r>
      <rPr>
        <rFont val="宋体"/>
      </rPr>
      <t>站</t>
    </r>
  </si>
  <si>
    <t>视频号</t>
  </si>
  <si>
    <t>抖音</t>
  </si>
  <si>
    <t>快手</t>
  </si>
  <si>
    <t>小红书</t>
  </si>
  <si>
    <t>头条</t>
  </si>
  <si>
    <t>百家</t>
  </si>
  <si>
    <t>企鹅</t>
  </si>
  <si>
    <t>2.16-2.22</t>
  </si>
  <si>
    <t>播放总数</t>
  </si>
  <si>
    <t>上周</t>
  </si>
  <si>
    <t>较上周</t>
  </si>
  <si>
    <t>粉丝总数</t>
  </si>
  <si>
    <t>上周</t>
  </si>
  <si>
    <t>较上周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</si>
  <si>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</si>
  <si>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</si>
  <si>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</si>
  <si>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</si>
  <si>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</si>
  <si>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</si>
  <si>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</si>
  <si>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</si>
  <si>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</si>
  <si>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</si>
  <si>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腾讯</t>
  </si>
  <si>
    <t>2022.Q4</t>
  </si>
  <si>
    <t>播放总数</t>
  </si>
  <si>
    <t>\</t>
  </si>
  <si>
    <t>粉丝净增</t>
  </si>
  <si>
    <t>\</t>
  </si>
  <si>
    <t>2023.Q1</t>
  </si>
  <si>
    <t>播放总数</t>
  </si>
  <si>
    <t>\</t>
  </si>
  <si>
    <t>粉丝净增</t>
  </si>
  <si>
    <t>\</t>
  </si>
  <si>
    <t xml:space="preserve">2022 Q1</t>
  </si>
  <si>
    <t>播放总数</t>
  </si>
  <si>
    <t>粉丝净增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</si>
  <si>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</si>
  <si>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</si>
  <si>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</si>
  <si>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</si>
  <si>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</si>
  <si>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</si>
  <si>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</si>
  <si>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</si>
  <si>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</si>
  <si>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</si>
  <si>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>腾讯</t>
  </si>
  <si>
    <t>2022.Q3</t>
  </si>
  <si>
    <t>播放总数</t>
  </si>
  <si>
    <t>粉丝净增</t>
  </si>
  <si>
    <t>#VALUE!</t>
  </si>
  <si>
    <t>2023.Q2</t>
  </si>
  <si>
    <t>播放总数</t>
  </si>
  <si>
    <t>\</t>
  </si>
  <si>
    <t>粉丝净增</t>
  </si>
  <si>
    <t>\</t>
  </si>
  <si>
    <t>2023.Q3</t>
  </si>
  <si>
    <t>播放总数</t>
  </si>
  <si>
    <t>粉丝净增</t>
  </si>
  <si>
    <t>2023Q4</t>
  </si>
  <si>
    <t>播放总数</t>
  </si>
  <si>
    <t>/</t>
  </si>
  <si>
    <t>粉丝净增</t>
  </si>
  <si>
    <t>/</t>
  </si>
  <si>
    <t>2024Q1</t>
  </si>
  <si>
    <t>播放总数</t>
  </si>
  <si>
    <t>/</t>
  </si>
  <si>
    <t>粉丝净增</t>
  </si>
  <si>
    <t>/</t>
  </si>
  <si>
    <t>粉丝总数</t>
  </si>
  <si>
    <t>粉丝净增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</si>
  <si>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</si>
  <si>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</si>
  <si>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</si>
  <si>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</si>
  <si>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</si>
  <si>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</si>
  <si>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</si>
  <si>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</si>
  <si>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</si>
  <si>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</si>
  <si>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 xml:space="preserve">2022 Q1</t>
  </si>
  <si>
    <t>2022.Q4</t>
  </si>
  <si>
    <t>2023.Q1</t>
  </si>
  <si>
    <t>粉丝净增</t>
  </si>
  <si>
    <t>粉丝净增</t>
  </si>
  <si>
    <t>微博</t>
  </si>
  <si>
    <t>B站</t>
  </si>
  <si>
    <t>视频号</t>
  </si>
  <si>
    <t>抖音</t>
  </si>
  <si>
    <t>快手</t>
  </si>
  <si>
    <t>小红书</t>
  </si>
  <si>
    <t>2022.Q3</t>
  </si>
  <si>
    <t>2023.Q2</t>
  </si>
  <si>
    <t>2023.Q3</t>
  </si>
  <si>
    <t>环比</t>
  </si>
  <si>
    <t>同比</t>
  </si>
  <si>
    <t>播放总数</t>
  </si>
  <si>
    <t>微博</t>
  </si>
  <si>
    <t>B站</t>
  </si>
  <si>
    <t>视频号</t>
  </si>
  <si>
    <t>抖音</t>
  </si>
  <si>
    <t>快手</t>
  </si>
  <si>
    <t>小红书</t>
  </si>
  <si>
    <t>头条</t>
  </si>
  <si>
    <t>百家</t>
  </si>
  <si>
    <t>企鹅</t>
  </si>
  <si>
    <t>知乎</t>
  </si>
  <si>
    <t xml:space="preserve">2022 Q1</t>
  </si>
  <si>
    <t>2022.Q4</t>
  </si>
  <si>
    <t>2023.Q1</t>
  </si>
  <si>
    <t xml:space="preserve">2022 Q1</t>
  </si>
  <si>
    <t>2022.Q4</t>
  </si>
  <si>
    <t>2023.Q1</t>
  </si>
  <si>
    <t>播放总数</t>
  </si>
  <si>
    <t>微博</t>
  </si>
  <si>
    <t>B站</t>
  </si>
  <si>
    <t>视频号</t>
  </si>
  <si>
    <t>抖音</t>
  </si>
  <si>
    <t>快手</t>
  </si>
  <si>
    <t>小红书</t>
  </si>
  <si>
    <t>2022.Q3</t>
  </si>
  <si>
    <t>2023.Q2</t>
  </si>
  <si>
    <t>粉丝净增</t>
  </si>
  <si>
    <t>微博</t>
  </si>
  <si>
    <t>B站</t>
  </si>
  <si>
    <t>视频号</t>
  </si>
  <si>
    <t>抖音</t>
  </si>
  <si>
    <t>快手</t>
  </si>
  <si>
    <t>小红书</t>
  </si>
  <si>
    <t>2023.Q3</t>
  </si>
  <si>
    <t>环比</t>
  </si>
  <si>
    <t>环比</t>
  </si>
  <si>
    <t>同比</t>
  </si>
  <si>
    <t>同比</t>
  </si>
  <si>
    <t>新增粉丝</t>
  </si>
  <si>
    <t>播放总数</t>
  </si>
  <si>
    <t>粉丝净增</t>
  </si>
  <si>
    <t>环比</t>
  </si>
  <si>
    <t>同比</t>
  </si>
  <si>
    <t xml:space="preserve">2022 Q1</t>
  </si>
  <si>
    <t>2022.Q4</t>
  </si>
  <si>
    <t>2023.Q1</t>
  </si>
  <si>
    <t xml:space="preserve">2022 Q1</t>
  </si>
  <si>
    <t>2022.Q4</t>
  </si>
  <si>
    <t>2023.Q1</t>
  </si>
  <si>
    <t>微博</t>
  </si>
  <si>
    <t>微博</t>
  </si>
  <si>
    <t>微博</t>
  </si>
  <si>
    <t>B站</t>
  </si>
  <si>
    <t>B站</t>
  </si>
  <si>
    <t>B站</t>
  </si>
  <si>
    <t>视频号</t>
  </si>
  <si>
    <t>视频号</t>
  </si>
  <si>
    <t>视频号</t>
  </si>
  <si>
    <t>抖音</t>
  </si>
  <si>
    <t>抖音</t>
  </si>
  <si>
    <t>抖音</t>
  </si>
  <si>
    <t>快手</t>
  </si>
  <si>
    <t>快手</t>
  </si>
  <si>
    <t>快手</t>
  </si>
  <si>
    <t>小红书</t>
  </si>
  <si>
    <t>小红书</t>
  </si>
  <si>
    <t>小红书</t>
  </si>
  <si>
    <t>头条</t>
  </si>
  <si>
    <t>头条</t>
  </si>
  <si>
    <t>百家</t>
  </si>
  <si>
    <t>百家</t>
  </si>
  <si>
    <t>企鹅</t>
  </si>
  <si>
    <t>企鹅</t>
  </si>
  <si>
    <t>知乎</t>
  </si>
  <si>
    <t>知乎</t>
  </si>
  <si>
    <t>B站</t>
  </si>
  <si>
    <t>视频号</t>
  </si>
  <si>
    <t>抖音</t>
  </si>
  <si>
    <t>快手</t>
  </si>
  <si>
    <t>小红书</t>
  </si>
  <si>
    <t>粉丝总数</t>
  </si>
  <si>
    <t>粉丝总数</t>
  </si>
  <si>
    <t>B站</t>
  </si>
  <si>
    <t>视频号</t>
  </si>
  <si>
    <t>抖音</t>
  </si>
  <si>
    <t>快手</t>
  </si>
  <si>
    <t>小红书</t>
  </si>
  <si>
    <t>月均播放</t>
  </si>
  <si>
    <t>B站</t>
  </si>
  <si>
    <t>视频号</t>
  </si>
  <si>
    <t>抖音</t>
  </si>
  <si>
    <t>快手</t>
  </si>
  <si>
    <t>小红书</t>
  </si>
  <si>
    <t>2023年度播放</t>
  </si>
  <si>
    <t>B站</t>
  </si>
  <si>
    <t>视频号</t>
  </si>
  <si>
    <t>抖音</t>
  </si>
  <si>
    <t>快手</t>
  </si>
  <si>
    <t>小红书</t>
  </si>
  <si>
    <t>2024.Q3</t>
  </si>
  <si>
    <t>2024.Q2</t>
  </si>
  <si>
    <t>2023.Q3</t>
  </si>
  <si>
    <t>微博</t>
  </si>
  <si>
    <t>B站</t>
  </si>
  <si>
    <t>视频号</t>
  </si>
  <si>
    <t>抖音</t>
  </si>
  <si>
    <t>快手</t>
  </si>
  <si>
    <t>小红书</t>
  </si>
  <si>
    <t xml:space="preserve">2024Q1 (1-3月）</t>
  </si>
  <si>
    <t>播放总数</t>
  </si>
  <si>
    <t>粉丝净增</t>
  </si>
  <si>
    <t>2024Q2(4-6月)</t>
  </si>
  <si>
    <t>播放总数</t>
  </si>
  <si>
    <t>粉丝净增</t>
  </si>
  <si>
    <t>2024Q3(7-9月)</t>
  </si>
  <si>
    <t>播放总数</t>
  </si>
  <si>
    <t>粉丝净增</t>
  </si>
  <si>
    <t>2024Q4(10~12月)</t>
  </si>
  <si>
    <t>播放总数</t>
  </si>
  <si>
    <t>粉丝净增</t>
  </si>
  <si>
    <t>B站</t>
  </si>
  <si>
    <t>视频号</t>
  </si>
  <si>
    <t>抖音</t>
  </si>
  <si>
    <t>快手</t>
  </si>
  <si>
    <t>小红书</t>
  </si>
  <si>
    <t>总粉丝(w）</t>
  </si>
  <si>
    <t xml:space="preserve">2025.1.10 总粉丝</t>
  </si>
  <si>
    <t xml:space="preserve">2024.1.4 总粉丝</t>
  </si>
  <si>
    <t>微博</t>
  </si>
  <si>
    <t>B站</t>
  </si>
  <si>
    <t>视频号</t>
  </si>
  <si>
    <t>抖音</t>
  </si>
  <si>
    <t>快手</t>
  </si>
  <si>
    <t>小红书</t>
  </si>
  <si>
    <t>2024净增粉</t>
  </si>
  <si>
    <t>B站</t>
  </si>
  <si>
    <t>视频号</t>
  </si>
  <si>
    <t>抖音</t>
  </si>
  <si>
    <t>快手</t>
  </si>
  <si>
    <t>小红书</t>
  </si>
  <si>
    <t>粉丝净增</t>
  </si>
  <si>
    <t>B站</t>
  </si>
  <si>
    <t>视频号</t>
  </si>
  <si>
    <t>抖音</t>
  </si>
  <si>
    <t>快手</t>
  </si>
  <si>
    <t>小红书</t>
  </si>
  <si>
    <t>粉丝总数(w）</t>
  </si>
  <si>
    <t>B站</t>
  </si>
  <si>
    <t>视频号</t>
  </si>
  <si>
    <t>抖音</t>
  </si>
  <si>
    <t>快手</t>
  </si>
  <si>
    <t>小红书</t>
  </si>
  <si>
    <t>B站</t>
  </si>
  <si>
    <t>视频号</t>
  </si>
  <si>
    <t>抖音</t>
  </si>
  <si>
    <t>快手</t>
  </si>
  <si>
    <t>小红书</t>
  </si>
  <si>
    <t>2024.Q3</t>
  </si>
  <si>
    <t>2024.Q3</t>
  </si>
  <si>
    <t>2024.Q2</t>
  </si>
  <si>
    <t>2024.Q2</t>
  </si>
  <si>
    <t>2023.Q3</t>
  </si>
  <si>
    <t>2023.Q3</t>
  </si>
  <si>
    <t>B站</t>
  </si>
  <si>
    <t>视频号</t>
  </si>
  <si>
    <t>抖音</t>
  </si>
  <si>
    <t>快手</t>
  </si>
  <si>
    <t>小红书</t>
  </si>
  <si>
    <t>同比</t>
  </si>
  <si>
    <t>环比</t>
  </si>
  <si>
    <t>2023.Q3</t>
  </si>
  <si>
    <t>B站</t>
  </si>
  <si>
    <t>视频号</t>
  </si>
  <si>
    <t>抖音</t>
  </si>
  <si>
    <t>快手</t>
  </si>
  <si>
    <t>小红书</t>
  </si>
  <si>
    <t>同比</t>
  </si>
  <si>
    <t>环比</t>
  </si>
  <si>
    <t>同比</t>
  </si>
  <si>
    <t>B站</t>
  </si>
  <si>
    <t>环比</t>
  </si>
  <si>
    <t>视频号</t>
  </si>
  <si>
    <t>抖音</t>
  </si>
  <si>
    <t>B站</t>
  </si>
  <si>
    <t>视频号</t>
  </si>
  <si>
    <t>抖音</t>
  </si>
  <si>
    <t>快手</t>
  </si>
  <si>
    <t>小红书</t>
  </si>
  <si>
    <t>快手</t>
  </si>
  <si>
    <t>同比</t>
  </si>
  <si>
    <t>小红书</t>
  </si>
  <si>
    <t>环比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</si>
</sst>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_);[Red](#,##0.0)"/>
    <numFmt numFmtId="166" formatCode="yyyy&quot;年&quot;m&quot;月&quot;d&quot;日&quot;;@"/>
    <numFmt numFmtId="167" formatCode="m&quot;月&quot;d&quot;日&quot;;@"/>
    <numFmt numFmtId="168" formatCode="0_);[Red](0)"/>
    <numFmt numFmtId="169" formatCode="yyyy/m/d"/>
    <numFmt numFmtId="170" formatCode="0.00_);[Red](0.00)"/>
  </numFmts>
  <fonts count="87">
    <font>
      <name val="等线"/>
      <charset val="1344"/>
      <sz val="9"/>
    </font>
    <font>
      <b/>
      <sz val="10"/>
    </font>
    <font/>
    <font>
      <b/>
      <sz val="11"/>
    </font>
    <font>
      <sz val="9"/>
    </font>
    <font>
      <name val="BlinkMacSystemFont"/>
      <b/>
      <color rgb="ff0000"/>
      <sz val="11"/>
    </font>
    <font>
      <name val="BlinkMacSystemFont"/>
      <sz val="9"/>
    </font>
    <font>
      <name val="BlinkMacSystemFont"/>
      <b/>
      <sz val="11"/>
    </font>
    <font>
      <name val="宋体"/>
      <sz val="9"/>
    </font>
    <font>
      <sz val="11"/>
    </font>
    <font>
      <name val="BlinkMacSystemFont"/>
      <sz val="11"/>
    </font>
    <font>
      <name val="宋体"/>
      <b/>
      <sz val="11"/>
    </font>
    <font>
      <name val="宋体"/>
      <b/>
      <color rgb="ff0000"/>
      <sz val="9"/>
    </font>
    <font>
      <name val="宋体"/>
      <sz val="12"/>
    </font>
    <font>
      <name val="BlinkMacSystemFont"/>
      <color rgb="2b2b2b"/>
      <sz val="9"/>
    </font>
    <font>
      <color rgb="000000"/>
      <sz val="9"/>
    </font>
    <font>
      <color rgb="2b2b2b"/>
      <sz val="9"/>
    </font>
    <font>
      <name val="宋体"/>
      <sz val="11"/>
    </font>
    <font>
      <name val="宋体"/>
      <color rgb="2b2b2b"/>
      <sz val="9"/>
    </font>
    <font>
      <b/>
      <color rgb="6EAAD7"/>
      <sz val="11"/>
    </font>
    <font>
      <name val="宋体"/>
      <color rgb="6EAAD7"/>
      <sz val="9"/>
    </font>
    <font>
      <color rgb="6EAAD7"/>
      <sz val="9"/>
    </font>
    <font>
      <b/>
      <color rgb="fe2c23"/>
      <sz val="11"/>
    </font>
    <font>
      <name val="宋体"/>
      <color rgb="fe2c23"/>
      <sz val="9"/>
    </font>
    <font>
      <color rgb="fe2c23"/>
      <sz val="9"/>
    </font>
    <font>
      <color rgb="fe2c23"/>
    </font>
    <font>
      <b/>
      <color rgb="fe2c23"/>
      <sz val="9"/>
    </font>
    <font>
      <b/>
    </font>
    <font>
      <b/>
      <sz val="9"/>
    </font>
    <font>
      <name val="宋体"/>
      <b/>
      <sz val="12"/>
    </font>
    <font>
      <name val="宋体"/>
      <sz val="10"/>
    </font>
    <font>
      <name val="宋体"/>
      <b/>
      <color rgb="fe2c23"/>
      <sz val="9"/>
    </font>
    <font>
      <name val="宋体"/>
      <b/>
      <color rgb="ff0000"/>
      <sz val="11"/>
    </font>
    <font>
      <color rgb="ff0000"/>
      <sz val="9"/>
    </font>
    <font>
      <name val="RedNum"/>
      <b/>
      <color rgb="2d2d2d"/>
      <sz val="12"/>
    </font>
    <font>
      <name val="RedNum"/>
      <b/>
      <color rgb="ff0000"/>
      <sz val="12"/>
    </font>
    <font>
      <b/>
      <color rgb="ff0000"/>
      <sz val="9"/>
    </font>
    <font>
      <name val="等线"/>
      <color rgb="e6000000"/>
      <sz val="11"/>
    </font>
    <font>
      <name val="等线"/>
      <color rgb="000000"/>
      <sz val="11"/>
    </font>
    <font>
      <color rgb="000000"/>
      <sz val="11"/>
    </font>
    <font>
      <color rgb="e6000000"/>
      <sz val="11"/>
    </font>
    <font>
      <name val="Calibri"/>
      <sz val="12"/>
    </font>
    <font>
      <name val="宋体"/>
      <b/>
      <color rgb="000000"/>
      <sz val="11"/>
    </font>
    <font>
      <name val="宋体"/>
      <color rgb="ff0000"/>
      <sz val="9"/>
    </font>
    <font>
      <name val="微软雅黑"/>
      <b/>
      <sz val="12"/>
    </font>
    <font>
      <name val="微软雅黑"/>
      <sz val="10"/>
    </font>
    <font>
      <name val="微软雅黑"/>
      <color rgb="2b2b2b"/>
      <sz val="10"/>
    </font>
    <font>
      <name val="微软雅黑"/>
      <b/>
      <sz val="10"/>
    </font>
    <font>
      <name val="等线"/>
      <color rgb="000000"/>
      <sz val="10"/>
    </font>
    <font>
      <name val="微软雅黑"/>
      <sz val="9"/>
    </font>
    <font>
      <name val="等线"/>
      <color rgb="000000"/>
      <sz val="9"/>
    </font>
    <font>
      <name val="微软雅黑"/>
      <b/>
      <sz val="9"/>
    </font>
    <font>
      <name val="微软雅黑"/>
      <b/>
    </font>
    <font>
      <name val="微软雅黑"/>
      <b/>
      <color rgb="2b2b2b"/>
      <sz val="9"/>
    </font>
    <font>
      <name val="微软雅黑"/>
      <color rgb="000000"/>
      <sz val="9"/>
    </font>
    <font>
      <name val="微软雅黑"/>
      <color rgb="e6000000"/>
      <sz val="9"/>
    </font>
    <font>
      <name val="微软雅黑"/>
    </font>
    <font>
      <name val="微软雅黑"/>
      <b/>
      <sz val="11"/>
    </font>
    <font>
      <name val="等线"/>
      <color rgb="161823"/>
    </font>
    <font>
      <name val="PingFang SC"/>
      <color rgb="161823"/>
      <sz val="11"/>
    </font>
    <font>
      <name val="等线"/>
      <color rgb="161823"/>
      <sz val="9"/>
    </font>
    <font>
      <name val="PingFang SC"/>
      <color rgb="222222"/>
      <sz val="11"/>
    </font>
    <font>
      <name val="Inter"/>
      <color rgb="161823"/>
      <sz val="11"/>
    </font>
    <font>
      <name val="等线"/>
      <color rgb="161823"/>
      <sz val="11"/>
    </font>
    <font>
      <name val="PingFangSC"/>
      <color rgb="161823"/>
      <sz val="11"/>
    </font>
    <font>
      <name val="微软雅黑"/>
      <color rgb="161823"/>
      <sz val="9"/>
    </font>
    <font>
      <name val="微软雅黑"/>
      <color rgb="222222"/>
      <sz val="9"/>
    </font>
    <font>
      <name val="Helvetica Neue"/>
      <b/>
      <sz val="9"/>
    </font>
    <font>
      <name val="宋体"/>
      <b/>
      <sz val="9"/>
    </font>
    <font>
      <name val="微软雅黑"/>
      <b/>
      <color rgb="fe2c23"/>
      <sz val="9"/>
    </font>
    <font>
      <name val="微软雅黑"/>
      <b/>
      <color rgb="2b2b2b"/>
      <sz val="11"/>
    </font>
    <font>
      <name val="微软雅黑"/>
      <b/>
      <color rgb="fe2c23"/>
      <sz val="10"/>
    </font>
    <font>
      <color rgb="2b2b2b"/>
      <sz val="10"/>
    </font>
    <font>
      <b/>
      <color rgb="fe2c23"/>
      <sz val="10"/>
    </font>
    <font>
      <name val="Helvetica Neue"/>
      <sz val="9"/>
    </font>
    <font>
      <name val="Helvetica Neue"/>
      <color rgb="2b2b2b"/>
      <sz val="9"/>
    </font>
    <font>
      <name val="宋体"/>
      <b/>
      <color rgb="fe2c23"/>
      <sz val="11"/>
    </font>
    <font>
      <name val="微软雅黑"/>
      <color rgb="2d2d2d"/>
      <sz val="10"/>
    </font>
    <font>
      <name val="微软雅黑"/>
      <color rgb="fe2c23"/>
      <sz val="10"/>
    </font>
    <font>
      <name val="Microsoft YaHei UI"/>
      <sz val="11"/>
    </font>
    <font>
      <name val="宋体"/>
      <b/>
      <color rgb="000000"/>
      <sz val="9"/>
    </font>
    <font>
      <name val="BlinkMacSystemFont"/>
      <b/>
      <sz val="12"/>
    </font>
    <font>
      <name val="微软雅黑"/>
      <b/>
      <color rgb="0d0015"/>
      <sz val="11"/>
    </font>
    <font>
      <name val="微软雅黑"/>
      <color rgb="0d0015"/>
      <sz val="9"/>
    </font>
    <font>
      <name val="微软雅黑"/>
      <b/>
      <color rgb="ff0000"/>
      <sz val="11"/>
    </font>
    <font>
      <name val="微软雅黑"/>
      <color rgb="2b2b2b"/>
      <sz val="9"/>
    </font>
    <font>
      <name val="Arial"/>
      <sz val="18"/>
    </font>
  </fonts>
  <fills count="17">
    <fill>
      <patternFill/>
    </fill>
    <fill>
      <patternFill patternType="gray125"/>
    </fill>
    <fill>
      <patternFill patternType="solid">
        <fgColor rgb="79C6CD"/>
      </patternFill>
    </fill>
    <fill>
      <patternFill patternType="solid">
        <fgColor rgb="37D9F0"/>
      </patternFill>
    </fill>
    <fill>
      <patternFill patternType="solid">
        <fgColor rgb="A3E043"/>
      </patternFill>
    </fill>
    <fill>
      <patternFill patternType="solid">
        <fgColor rgb="FF0000"/>
      </patternFill>
    </fill>
    <fill>
      <patternFill patternType="solid">
        <fgColor rgb="92CDDC"/>
      </patternFill>
    </fill>
    <fill>
      <patternFill patternType="solid">
        <fgColor rgb="F9EDA6"/>
      </patternFill>
    </fill>
    <fill>
      <patternFill patternType="solid">
        <fgColor rgb="F3F3F4"/>
      </patternFill>
    </fill>
    <fill>
      <patternFill patternType="solid">
        <fgColor rgb="FFD900"/>
      </patternFill>
    </fill>
    <fill>
      <patternFill patternType="solid">
        <fgColor rgb="4DA8EE"/>
      </patternFill>
    </fill>
    <fill>
      <patternFill patternType="solid">
        <fgColor rgb="FF7800"/>
      </patternFill>
    </fill>
    <fill>
      <patternFill patternType="solid">
        <fgColor rgb="FFFFFF"/>
      </patternFill>
    </fill>
    <fill>
      <patternFill patternType="solid">
        <fgColor rgb="92D050"/>
      </patternFill>
    </fill>
    <fill>
      <patternFill patternType="solid">
        <fgColor rgb="C7E6EA"/>
      </patternFill>
    </fill>
    <fill>
      <patternFill patternType="solid">
        <fgColor rgb="02BC7D"/>
      </patternFill>
    </fill>
    <fill>
      <patternFill patternType="solid">
        <fgColor rgb="E9F4ED"/>
      </patternFill>
    </fill>
  </fills>
  <borders count="13">
    <border/>
    <border>
      <left style="thin">
        <color rgb="2b2b2b"/>
      </left>
      <right style="thin">
        <color rgb="2b2b2b"/>
      </right>
      <top style="thin">
        <color rgb="2b2b2b"/>
      </top>
      <bottom style="thin">
        <color rgb="2b2b2b"/>
      </bottom>
    </border>
    <border>
      <left style="medium">
        <color rgb="2b2b2b"/>
      </left>
      <top style="medium">
        <color rgb="2b2b2b"/>
      </top>
      <bottom style="medium">
        <color rgb="2b2b2b"/>
      </bottom>
    </border>
    <border>
      <left style="medium">
        <color rgb="2b2b2b"/>
      </left>
      <right style="medium">
        <color rgb="2b2b2b"/>
      </right>
      <top style="medium">
        <color rgb="2b2b2b"/>
      </top>
      <bottom style="medium">
        <color rgb="2b2b2b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</border>
    <border>
      <right style="medium">
        <color rgb="000000"/>
      </right>
      <top style="medium">
        <color rgb="000000"/>
      </top>
      <bottom style="medium">
        <color rgb="000000"/>
      </bottom>
    </border>
    <border>
      <right style="thin">
        <color rgb="000000"/>
      </right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</border>
    <border>
      <top style="thin">
        <color rgb="000000"/>
      </top>
      <bottom style="thin">
        <color rgb="000000"/>
      </bottom>
    </border>
  </borders>
  <cellXfs count="388">
    <xf fontId="0" fillId="0" borderId="0" xfId="0"/>
    <xf fontId="1" borderId="1" applyFont="1" applyBorder="1">
      <alignment horizontal="center" vertical="center"/>
    </xf>
    <xf fontId="2" applyFont="1">
      <alignment horizontal="center" vertical="center"/>
    </xf>
    <xf fontId="2" applyFont="1">
      <alignment vertical="center"/>
    </xf>
    <xf fontId="3" fillId="2" borderId="1" applyFont="1" applyFill="1" applyBorder="1">
      <alignment horizontal="center" vertical="center"/>
    </xf>
    <xf fontId="4" applyFont="1">
      <alignment horizontal="center" vertical="center"/>
    </xf>
    <xf fontId="5" fillId="2" borderId="1" applyFont="1" applyFill="1" applyBorder="1">
      <alignment horizontal="center" vertical="center"/>
    </xf>
    <xf numFmtId="164" fontId="5" fillId="2" borderId="1" applyNumberFormat="1" applyFont="1" applyFill="1" applyBorder="1">
      <alignment horizontal="center" vertical="center" wrapText="1"/>
    </xf>
    <xf fontId="4" borderId="1" applyFont="1" applyBorder="1">
      <alignment horizontal="center" vertical="center"/>
    </xf>
    <xf numFmtId="38" fontId="4" borderId="1" applyNumberFormat="1" applyFont="1" applyBorder="1">
      <alignment horizontal="center" vertical="center"/>
    </xf>
    <xf numFmtId="164" fontId="5" fillId="2" borderId="1" applyNumberFormat="1" applyFont="1" applyFill="1" applyBorder="1">
      <alignment horizontal="center" vertical="center"/>
    </xf>
    <xf fontId="5" fillId="2" borderId="1" applyFont="1" applyFill="1" applyBorder="1">
      <alignment horizontal="center" vertical="center" wrapText="1"/>
    </xf>
    <xf numFmtId="164" fontId="6" applyNumberFormat="1" applyFont="1">
      <alignment horizontal="center" vertical="center"/>
    </xf>
    <xf numFmtId="38" fontId="7" borderId="1" applyNumberFormat="1" applyFont="1" applyBorder="1">
      <alignment horizontal="center" vertical="center"/>
    </xf>
    <xf numFmtId="164" fontId="7" borderId="1" applyNumberFormat="1" applyFont="1" applyBorder="1">
      <alignment horizontal="center" vertical="center"/>
    </xf>
    <xf fontId="7" borderId="1" applyFont="1" applyBorder="1">
      <alignment horizontal="center" vertical="center"/>
    </xf>
    <xf numFmtId="164" fontId="7" fillId="2" borderId="1" applyNumberFormat="1" applyFont="1" applyFill="1" applyBorder="1">
      <alignment horizontal="center" vertical="center"/>
    </xf>
    <xf fontId="7" fillId="2" borderId="1" applyFont="1" applyFill="1" applyBorder="1">
      <alignment horizontal="center" vertical="center"/>
    </xf>
    <xf numFmtId="38" fontId="5" fillId="2" borderId="1" applyNumberFormat="1" applyFont="1" applyFill="1" applyBorder="1">
      <alignment horizontal="center" vertical="center"/>
    </xf>
    <xf fontId="7" fillId="2" borderId="1" applyFont="1" applyFill="1" applyBorder="1">
      <alignment horizontal="center" vertical="center" wrapText="1"/>
    </xf>
    <xf numFmtId="38" fontId="7" fillId="2" borderId="1" applyNumberFormat="1" applyFont="1" applyFill="1" applyBorder="1">
      <alignment horizontal="center" vertical="center"/>
    </xf>
    <xf numFmtId="164" fontId="7" borderId="1" applyNumberFormat="1" applyFont="1" applyBorder="1">
      <alignment horizontal="center" vertical="center" wrapText="1"/>
    </xf>
    <xf numFmtId="164" fontId="7" fillId="2" borderId="1" applyNumberFormat="1" applyFont="1" applyFill="1" applyBorder="1">
      <alignment horizontal="center" vertical="center" wrapText="1"/>
    </xf>
    <xf fontId="8" borderId="1" applyFont="1" applyBorder="1">
      <alignment horizontal="center" vertical="center"/>
    </xf>
    <xf numFmtId="38" fontId="8" borderId="1" applyNumberFormat="1" applyFont="1" applyBorder="1">
      <alignment horizontal="center" vertical="center"/>
    </xf>
    <xf numFmtId="165" fontId="8" borderId="1" applyNumberFormat="1" applyFont="1" applyBorder="1">
      <alignment horizontal="center" vertical="center"/>
    </xf>
    <xf fontId="9" borderId="1" applyFont="1" applyBorder="1">
      <alignment horizontal="center" vertical="center"/>
    </xf>
    <xf numFmtId="164" fontId="6" fillId="3" applyNumberFormat="1" applyFont="1" applyFill="1">
      <alignment horizontal="center" vertical="center"/>
    </xf>
    <xf numFmtId="164" fontId="8" borderId="1" applyNumberFormat="1" applyFont="1" applyBorder="1">
      <alignment horizontal="center" vertical="center"/>
    </xf>
    <xf numFmtId="164" fontId="10" fillId="2" borderId="1" applyNumberFormat="1" applyFont="1" applyFill="1" applyBorder="1">
      <alignment horizontal="center" vertical="center"/>
    </xf>
    <xf numFmtId="164" fontId="6" fillId="4" applyNumberFormat="1" applyFont="1" applyFill="1">
      <alignment horizontal="center" vertical="center"/>
    </xf>
    <xf numFmtId="165" fontId="10" fillId="2" borderId="1" applyNumberFormat="1" applyFont="1" applyFill="1" applyBorder="1">
      <alignment horizontal="center" vertical="center"/>
    </xf>
    <xf numFmtId="38" fontId="10" fillId="2" borderId="1" applyNumberFormat="1" applyFont="1" applyFill="1" applyBorder="1">
      <alignment horizontal="center" vertical="center"/>
    </xf>
    <xf numFmtId="164" fontId="6" fillId="5" applyNumberFormat="1" applyFont="1" applyFill="1">
      <alignment horizontal="center" vertical="center"/>
    </xf>
    <xf numFmtId="164" fontId="11" fillId="2" borderId="1" applyNumberFormat="1" applyFont="1" applyFill="1" applyBorder="1">
      <alignment horizontal="center" vertical="center"/>
    </xf>
    <xf numFmtId="164" fontId="8" borderId="1" applyNumberFormat="1" applyFont="1" applyBorder="1">
      <alignment horizontal="center" vertical="center" wrapText="1"/>
    </xf>
    <xf numFmtId="164" fontId="12" borderId="1" applyNumberFormat="1" applyFont="1" applyBorder="1">
      <alignment horizontal="center" vertical="center"/>
    </xf>
    <xf numFmtId="164" fontId="6" borderId="1" applyNumberFormat="1" applyFont="1" applyBorder="1">
      <alignment horizontal="center" vertical="center"/>
    </xf>
    <xf fontId="6" borderId="1" applyFont="1" applyBorder="1">
      <alignment horizontal="center" vertical="center"/>
    </xf>
    <xf numFmtId="38" fontId="6" borderId="1" applyNumberFormat="1" applyFont="1" applyBorder="1">
      <alignment horizontal="center" vertical="center"/>
    </xf>
    <xf fontId="13" borderId="1" applyFont="1" applyBorder="1">
      <alignment horizontal="center" vertical="center"/>
    </xf>
    <xf fontId="2" borderId="1" applyFont="1" applyBorder="1">
      <alignment horizontal="center" vertical="center"/>
    </xf>
    <xf numFmtId="38" fontId="14" borderId="1" applyNumberFormat="1" applyFont="1" applyBorder="1">
      <alignment horizontal="center" vertical="center"/>
    </xf>
    <xf fontId="15" borderId="1" applyFont="1" applyBorder="1">
      <alignment horizontal="center" vertical="center"/>
    </xf>
    <xf fontId="14" borderId="1" applyFont="1" applyBorder="1">
      <alignment horizontal="center" vertical="center"/>
    </xf>
    <xf fontId="16" borderId="1" applyFont="1" applyBorder="1">
      <alignment horizontal="center" vertical="center"/>
    </xf>
    <xf numFmtId="165" fontId="14" borderId="1" applyNumberFormat="1" applyFont="1" applyBorder="1">
      <alignment horizontal="center" vertical="center"/>
    </xf>
    <xf fontId="3" fillId="2" borderId="1" applyFont="1" applyFill="1" applyBorder="1">
      <alignment horizontal="center" vertical="center" wrapText="1"/>
    </xf>
    <xf fontId="17" borderId="1" applyFont="1" applyBorder="1">
      <alignment horizontal="center" vertical="center"/>
    </xf>
    <xf fontId="18" borderId="1" applyFont="1" applyBorder="1">
      <alignment horizontal="center" vertical="center"/>
    </xf>
    <xf numFmtId="38" fontId="16" borderId="1" applyNumberFormat="1" applyFont="1" applyBorder="1">
      <alignment horizontal="center" vertical="center"/>
    </xf>
    <xf fontId="19" fillId="2" borderId="1" applyFont="1" applyFill="1" applyBorder="1">
      <alignment horizontal="center" vertical="center"/>
    </xf>
    <xf fontId="19" fillId="2" borderId="1" applyFont="1" applyFill="1" applyBorder="1">
      <alignment horizontal="center" vertical="center" wrapText="1"/>
    </xf>
    <xf fontId="20" fillId="2" borderId="1" applyFont="1" applyFill="1" applyBorder="1">
      <alignment horizontal="center" vertical="center"/>
    </xf>
    <xf numFmtId="38" fontId="21" fillId="2" borderId="1" applyNumberFormat="1" applyFont="1" applyFill="1" applyBorder="1">
      <alignment horizontal="center" vertical="center"/>
    </xf>
    <xf fontId="21" fillId="2" borderId="1" applyFont="1" applyFill="1" applyBorder="1">
      <alignment horizontal="center" vertical="center"/>
    </xf>
    <xf fontId="22" fillId="2" borderId="1" applyFont="1" applyFill="1" applyBorder="1">
      <alignment horizontal="center" vertical="center"/>
    </xf>
    <xf numFmtId="38" fontId="18" borderId="1" applyNumberFormat="1" applyFont="1" applyBorder="1">
      <alignment horizontal="center" vertical="center"/>
    </xf>
    <xf fontId="22" fillId="2" borderId="1" applyFont="1" applyFill="1" applyBorder="1">
      <alignment horizontal="center" vertical="center" wrapText="1"/>
    </xf>
    <xf fontId="23" borderId="1" applyFont="1" applyBorder="1">
      <alignment horizontal="center" vertical="center"/>
    </xf>
    <xf fontId="24" borderId="1" applyFont="1" applyBorder="1">
      <alignment horizontal="center" vertical="center"/>
    </xf>
    <xf fontId="4" borderId="1" applyFont="1" applyBorder="1">
      <alignment horizontal="center" vertical="center" wrapText="1"/>
    </xf>
    <xf fontId="24" borderId="1" applyFont="1" applyBorder="1">
      <alignment horizontal="center" vertical="center" wrapText="1"/>
    </xf>
    <xf fontId="25" borderId="1" applyFont="1" applyBorder="1">
      <alignment horizontal="center" vertical="center"/>
    </xf>
    <xf fontId="26" borderId="1" applyFont="1" applyBorder="1">
      <alignment horizontal="center" vertical="center"/>
    </xf>
    <xf fontId="27" borderId="1" applyFont="1" applyBorder="1">
      <alignment horizontal="center" vertical="center"/>
    </xf>
    <xf fontId="28" borderId="1" applyFont="1" applyBorder="1">
      <alignment horizontal="center" vertical="center"/>
    </xf>
    <xf fontId="24" applyFont="1">
      <alignment horizontal="center" vertical="center"/>
    </xf>
    <xf fontId="25" applyFont="1">
      <alignment horizontal="center" vertical="center"/>
    </xf>
    <xf fontId="27" borderId="1" applyFont="1" applyBorder="1"/>
    <xf fontId="2" borderId="1" applyFont="1" applyBorder="1"/>
    <xf fontId="2" borderId="1" applyFont="1" applyBorder="1">
      <alignment vertical="center"/>
    </xf>
    <xf fontId="27" borderId="1" applyFont="1" applyBorder="1">
      <alignment vertical="center"/>
    </xf>
    <xf fontId="11" fillId="6" borderId="1" applyFont="1" applyFill="1" applyBorder="1">
      <alignment horizontal="center" vertical="center" wrapText="1"/>
    </xf>
    <xf fontId="11" fillId="6" borderId="1" applyFont="1" applyFill="1" applyBorder="1">
      <alignment horizontal="center" vertical="center"/>
    </xf>
    <xf numFmtId="164" fontId="11" fillId="6" borderId="1" applyNumberFormat="1" applyFont="1" applyFill="1" applyBorder="1">
      <alignment horizontal="center" vertical="center"/>
    </xf>
    <xf fontId="11" fillId="7" borderId="1" applyFont="1" applyFill="1" applyBorder="1">
      <alignment horizontal="center" vertical="center" wrapText="1"/>
    </xf>
    <xf fontId="29" fillId="8" borderId="1" applyFont="1" applyFill="1" applyBorder="1">
      <alignment horizontal="center" vertical="center" wrapText="1"/>
    </xf>
    <xf fontId="30" borderId="1" applyFont="1" applyBorder="1">
      <alignment horizontal="center" vertical="center" wrapText="1"/>
    </xf>
    <xf numFmtId="166" fontId="11" applyNumberFormat="1" applyFont="1">
      <alignment horizontal="center" vertical="center" wrapText="1"/>
    </xf>
    <xf fontId="4" borderId="1" applyFont="1" applyBorder="1">
      <alignment vertical="center"/>
    </xf>
    <xf numFmtId="38" fontId="8" fillId="7" borderId="1" applyNumberFormat="1" applyFont="1" applyFill="1" applyBorder="1">
      <alignment horizontal="center" vertical="center"/>
    </xf>
    <xf fontId="31" fillId="7" borderId="1" applyFont="1" applyFill="1" applyBorder="1">
      <alignment horizontal="center" vertical="center"/>
    </xf>
    <xf fontId="8" borderId="1" applyFont="1" applyBorder="1">
      <alignment horizontal="center" vertical="center" wrapText="1"/>
    </xf>
    <xf fontId="30" fillId="9" borderId="1" applyFont="1" applyFill="1" applyBorder="1">
      <alignment horizontal="center" vertical="center" wrapText="1"/>
    </xf>
    <xf numFmtId="166" fontId="17" fillId="9" applyNumberFormat="1" applyFont="1" applyFill="1">
      <alignment horizontal="left" vertical="center" wrapText="1"/>
    </xf>
    <xf fontId="10" fillId="9" borderId="1" applyFont="1" applyFill="1" applyBorder="1">
      <alignment horizontal="center" vertical="center" wrapText="1"/>
    </xf>
    <xf fontId="32" fillId="9" applyFont="1" applyFill="1">
      <alignment horizontal="center" vertical="center"/>
    </xf>
    <xf numFmtId="164" fontId="11" fillId="9" borderId="1" applyNumberFormat="1" applyFont="1" applyFill="1" applyBorder="1">
      <alignment horizontal="center" vertical="center"/>
    </xf>
    <xf numFmtId="164" fontId="11" fillId="9" applyNumberFormat="1" applyFont="1" applyFill="1">
      <alignment horizontal="center" vertical="center"/>
    </xf>
    <xf fontId="33" fillId="9" applyFont="1" applyFill="1">
      <alignment vertical="center"/>
    </xf>
    <xf fontId="11" fillId="9" applyFont="1" applyFill="1">
      <alignment horizontal="center" vertical="center"/>
    </xf>
    <xf fontId="11" fillId="9" borderId="1" applyFont="1" applyFill="1" applyBorder="1">
      <alignment horizontal="center" vertical="center"/>
    </xf>
    <xf fontId="4" fillId="9" borderId="1" applyFont="1" applyFill="1" applyBorder="1">
      <alignment vertical="center"/>
    </xf>
    <xf numFmtId="38" fontId="8" fillId="9" borderId="1" applyNumberFormat="1" applyFont="1" applyFill="1" applyBorder="1">
      <alignment horizontal="center" vertical="center"/>
    </xf>
    <xf fontId="31" fillId="9" borderId="1" applyFont="1" applyFill="1" applyBorder="1">
      <alignment horizontal="center" vertical="center"/>
    </xf>
    <xf fontId="8" fillId="9" borderId="1" applyFont="1" applyFill="1" applyBorder="1">
      <alignment horizontal="center" vertical="center" wrapText="1"/>
    </xf>
    <xf numFmtId="167" fontId="11" fillId="9" borderId="2" applyNumberFormat="1" applyFont="1" applyFill="1" applyBorder="1">
      <alignment horizontal="center" vertical="center"/>
    </xf>
    <xf fontId="32" fillId="9" borderId="1" applyFont="1" applyFill="1" applyBorder="1">
      <alignment horizontal="center" vertical="center"/>
    </xf>
    <xf numFmtId="38" fontId="11" fillId="9" borderId="1" applyNumberFormat="1" applyFont="1" applyFill="1" applyBorder="1">
      <alignment horizontal="center" vertical="center"/>
    </xf>
    <xf numFmtId="167" fontId="11" fillId="5" borderId="2" applyNumberFormat="1" applyFont="1" applyFill="1" applyBorder="1">
      <alignment horizontal="center" vertical="center"/>
    </xf>
    <xf numFmtId="164" fontId="32" fillId="9" borderId="1" applyNumberFormat="1" applyFont="1" applyFill="1" applyBorder="1">
      <alignment horizontal="center" vertical="center"/>
    </xf>
    <xf numFmtId="167" fontId="11" fillId="10" borderId="2" applyNumberFormat="1" applyFont="1" applyFill="1" applyBorder="1">
      <alignment horizontal="left" vertical="center"/>
    </xf>
    <xf numFmtId="167" fontId="11" fillId="10" borderId="2" applyNumberFormat="1" applyFont="1" applyFill="1" applyBorder="1">
      <alignment horizontal="left" vertical="center" wrapText="1"/>
    </xf>
    <xf fontId="10" fillId="5" borderId="1" applyFont="1" applyFill="1" applyBorder="1">
      <alignment horizontal="center" vertical="center" wrapText="1"/>
    </xf>
    <xf numFmtId="38" fontId="32" fillId="9" borderId="1" applyNumberFormat="1" applyFont="1" applyFill="1" applyBorder="1">
      <alignment horizontal="center" vertical="center"/>
    </xf>
    <xf fontId="34" fillId="9" applyFont="1" applyFill="1">
      <alignment vertical="center"/>
    </xf>
    <xf fontId="34" fillId="9" borderId="1" applyFont="1" applyFill="1" applyBorder="1">
      <alignment horizontal="center" vertical="center"/>
    </xf>
    <xf numFmtId="167" fontId="11" fillId="9" borderId="3" applyNumberFormat="1" applyFont="1" applyFill="1" applyBorder="1">
      <alignment horizontal="center" vertical="center"/>
    </xf>
    <xf fontId="10" fillId="9" applyFont="1" applyFill="1">
      <alignment horizontal="center" vertical="center" wrapText="1"/>
    </xf>
    <xf numFmtId="167" fontId="11" fillId="5" borderId="3" applyNumberFormat="1" applyFont="1" applyFill="1" applyBorder="1">
      <alignment horizontal="center" vertical="center"/>
    </xf>
    <xf fontId="10" fillId="5" applyFont="1" applyFill="1">
      <alignment horizontal="center" vertical="center" wrapText="1"/>
    </xf>
    <xf numFmtId="165" fontId="4" fillId="9" borderId="1" applyNumberFormat="1" applyFont="1" applyFill="1" applyBorder="1">
      <alignment horizontal="center" vertical="center"/>
    </xf>
    <xf fontId="35" fillId="9" borderId="1" applyFont="1" applyFill="1" applyBorder="1">
      <alignment horizontal="center" vertical="center"/>
    </xf>
    <xf numFmtId="38" fontId="36" fillId="9" borderId="1" applyNumberFormat="1" applyFont="1" applyFill="1" applyBorder="1">
      <alignment horizontal="center" vertical="center"/>
    </xf>
    <xf fontId="4" fillId="9" borderId="1" applyFont="1" applyFill="1" applyBorder="1">
      <alignment horizontal="center" vertical="center"/>
    </xf>
    <xf numFmtId="164" fontId="4" fillId="9" borderId="1" applyNumberFormat="1" applyFont="1" applyFill="1" applyBorder="1">
      <alignment horizontal="center" vertical="center"/>
    </xf>
    <xf numFmtId="38" fontId="4" fillId="9" borderId="1" applyNumberFormat="1" applyFont="1" applyFill="1" applyBorder="1">
      <alignment horizontal="center" vertical="center"/>
    </xf>
    <xf numFmtId="164" fontId="10" fillId="9" applyNumberFormat="1" applyFont="1" applyFill="1">
      <alignment horizontal="center" vertical="center" wrapText="1"/>
    </xf>
    <xf numFmtId="164" fontId="10" fillId="5" applyNumberFormat="1" applyFont="1" applyFill="1">
      <alignment horizontal="center" vertical="center" wrapText="1"/>
    </xf>
    <xf numFmtId="167" fontId="11" fillId="9" borderId="1" applyNumberFormat="1" applyFont="1" applyFill="1" applyBorder="1">
      <alignment horizontal="center" vertical="center"/>
    </xf>
    <xf fontId="37" fillId="9" applyFont="1" applyFill="1">
      <alignment horizontal="center" vertical="center" wrapText="1"/>
    </xf>
    <xf numFmtId="164" fontId="34" fillId="9" applyNumberFormat="1" applyFont="1" applyFill="1">
      <alignment vertical="center"/>
    </xf>
    <xf numFmtId="164" fontId="38" fillId="9" applyNumberFormat="1" applyFont="1" applyFill="1">
      <alignment horizontal="center" vertical="center" wrapText="1"/>
    </xf>
    <xf numFmtId="164" fontId="39" fillId="9" applyNumberFormat="1" applyFont="1" applyFill="1">
      <alignment horizontal="center" vertical="center" wrapText="1"/>
    </xf>
    <xf fontId="40" fillId="9" applyFont="1" applyFill="1">
      <alignment horizontal="center" vertical="center" wrapText="1"/>
    </xf>
    <xf numFmtId="167" fontId="11" fillId="11" borderId="1" applyNumberFormat="1" applyFont="1" applyFill="1" applyBorder="1">
      <alignment horizontal="center" vertical="center"/>
    </xf>
    <xf numFmtId="164" fontId="41" fillId="9" applyNumberFormat="1" applyFont="1" applyFill="1">
      <alignment horizontal="center" vertical="center" wrapText="1"/>
    </xf>
    <xf fontId="33" fillId="9" borderId="1" applyFont="1" applyFill="1" applyBorder="1">
      <alignment horizontal="center" vertical="center"/>
    </xf>
    <xf numFmtId="38" fontId="42" fillId="9" borderId="1" applyNumberFormat="1" applyFont="1" applyFill="1" applyBorder="1">
      <alignment horizontal="center" vertical="center"/>
    </xf>
    <xf numFmtId="164" fontId="13" fillId="9" applyNumberFormat="1" applyFont="1" applyFill="1">
      <alignment horizontal="center" vertical="center" wrapText="1"/>
    </xf>
    <xf fontId="2" fillId="9" applyFont="1" applyFill="1">
      <alignment vertical="center"/>
    </xf>
    <xf numFmtId="167" fontId="11" fillId="5" borderId="1" applyNumberFormat="1" applyFont="1" applyFill="1" applyBorder="1">
      <alignment horizontal="center" vertical="center"/>
    </xf>
    <xf numFmtId="167" fontId="11" fillId="10" borderId="1" applyNumberFormat="1" applyFont="1" applyFill="1" applyBorder="1">
      <alignment horizontal="center" vertical="center"/>
    </xf>
    <xf numFmtId="167" fontId="11" fillId="10" borderId="1" applyNumberFormat="1" applyFont="1" applyFill="1" applyBorder="1">
      <alignment horizontal="center" vertical="center" wrapText="1"/>
    </xf>
    <xf numFmtId="164" fontId="39" fillId="9" borderId="1" applyNumberFormat="1" applyFont="1" applyFill="1" applyBorder="1">
      <alignment horizontal="center" vertical="center" wrapText="1"/>
    </xf>
    <xf numFmtId="164" fontId="39" fillId="9" borderId="1" applyNumberFormat="1" applyFont="1" applyFill="1" applyBorder="1">
      <alignment vertical="center"/>
    </xf>
    <xf fontId="40" fillId="9" borderId="1" applyFont="1" applyFill="1" applyBorder="1">
      <alignment horizontal="center" vertical="center" wrapText="1"/>
    </xf>
    <xf numFmtId="38" fontId="43" fillId="9" borderId="1" applyNumberFormat="1" applyFont="1" applyFill="1" applyBorder="1">
      <alignment horizontal="center" vertical="center"/>
    </xf>
    <xf numFmtId="164" fontId="34" fillId="9" borderId="1" applyNumberFormat="1" applyFont="1" applyFill="1" applyBorder="1">
      <alignment vertical="center"/>
    </xf>
    <xf fontId="37" fillId="9" borderId="1" applyFont="1" applyFill="1" applyBorder="1">
      <alignment horizontal="center" vertical="center" wrapText="1"/>
    </xf>
    <xf fontId="44" fillId="6" borderId="4" applyFont="1" applyFill="1" applyBorder="1">
      <alignment horizontal="center" vertical="center" wrapText="1"/>
    </xf>
    <xf fontId="44" fillId="6" borderId="4" applyFont="1" applyFill="1" applyBorder="1">
      <alignment horizontal="center" vertical="center"/>
    </xf>
    <xf fontId="44" fillId="6" borderId="5" applyFont="1" applyFill="1" applyBorder="1">
      <alignment horizontal="center" vertical="center" wrapText="1"/>
    </xf>
    <xf fontId="44" fillId="6" borderId="5" applyFont="1" applyFill="1" applyBorder="1"/>
    <xf fontId="44" fillId="6" borderId="5" applyFont="1" applyFill="1" applyBorder="1">
      <alignment horizontal="center" vertical="center"/>
    </xf>
    <xf numFmtId="167" fontId="45" borderId="1" applyNumberFormat="1" applyFont="1" applyBorder="1">
      <alignment horizontal="center" vertical="center" wrapText="1"/>
    </xf>
    <xf fontId="37" applyFont="1">
      <alignment horizontal="center" vertical="center"/>
    </xf>
    <xf fontId="45" borderId="1" applyFont="1" applyBorder="1">
      <alignment horizontal="center" vertical="center" wrapText="1"/>
    </xf>
    <xf fontId="38" applyFont="1">
      <alignment vertical="center"/>
    </xf>
    <xf numFmtId="38" fontId="45" borderId="1" applyNumberFormat="1" applyFont="1" applyBorder="1">
      <alignment horizontal="center" vertical="center" wrapText="1"/>
    </xf>
    <xf fontId="46" borderId="1" applyFont="1" applyBorder="1">
      <alignment horizontal="center" vertical="center" wrapText="1"/>
    </xf>
    <xf fontId="47" borderId="1" applyFont="1" applyBorder="1">
      <alignment horizontal="center" vertical="center" wrapText="1"/>
    </xf>
    <xf fontId="38" applyFont="1"/>
    <xf fontId="4" borderId="1" applyFont="1" applyBorder="1"/>
    <xf fontId="48" applyFont="1"/>
    <xf numFmtId="167" fontId="49" borderId="1" applyNumberFormat="1" applyFont="1" applyBorder="1">
      <alignment horizontal="center" vertical="center" wrapText="1"/>
    </xf>
    <xf fontId="49" borderId="1" applyFont="1" applyBorder="1">
      <alignment horizontal="center" vertical="center" wrapText="1"/>
    </xf>
    <xf fontId="50" applyFont="1">
      <alignment vertical="center"/>
    </xf>
    <xf fontId="51" borderId="1" applyFont="1" applyBorder="1">
      <alignment horizontal="center" vertical="center" wrapText="1"/>
    </xf>
    <xf numFmtId="38" fontId="52" borderId="1" applyNumberFormat="1" applyFont="1" applyBorder="1">
      <alignment horizontal="center" vertical="center" wrapText="1"/>
    </xf>
    <xf numFmtId="38" fontId="51" borderId="1" applyNumberFormat="1" applyFont="1" applyBorder="1">
      <alignment horizontal="center" vertical="center" wrapText="1"/>
    </xf>
    <xf fontId="53" borderId="1" applyFont="1" applyBorder="1">
      <alignment horizontal="center" vertical="center" wrapText="1"/>
    </xf>
    <xf fontId="54" borderId="1" applyFont="1" applyBorder="1"/>
    <xf fontId="54" borderId="1" applyFont="1" applyBorder="1">
      <alignment vertical="center"/>
    </xf>
    <xf fontId="55" borderId="1" applyFont="1" applyBorder="1">
      <alignment vertical="center" wrapText="1"/>
    </xf>
    <xf fontId="55" borderId="1" applyFont="1" applyBorder="1">
      <alignment horizontal="right" vertical="center" wrapText="1"/>
    </xf>
    <xf fontId="52" borderId="1" applyFont="1" applyBorder="1">
      <alignment horizontal="center" vertical="center" wrapText="1"/>
    </xf>
    <xf numFmtId="164" fontId="51" borderId="1" applyNumberFormat="1" applyFont="1" applyBorder="1">
      <alignment horizontal="center" vertical="center" wrapText="1"/>
    </xf>
    <xf fontId="55" borderId="1" applyFont="1" applyBorder="1">
      <alignment horizontal="left" vertical="center" wrapText="1"/>
    </xf>
    <xf fontId="49" borderId="1" applyFont="1" applyBorder="1">
      <alignment horizontal="center" vertical="center"/>
    </xf>
    <xf fontId="54" borderId="1" applyFont="1" applyBorder="1">
      <alignment vertical="center" wrapText="1"/>
    </xf>
    <xf numFmtId="167" fontId="49" borderId="1" applyNumberFormat="1" applyFont="1" applyBorder="1">
      <alignment horizontal="center" vertical="center"/>
    </xf>
    <xf fontId="49" borderId="1" applyFont="1" applyBorder="1">
      <alignment horizontal="left" vertical="center" wrapText="1"/>
    </xf>
    <xf fontId="56" borderId="1" applyFont="1" applyBorder="1">
      <alignment horizontal="center" vertical="center"/>
    </xf>
    <xf fontId="51" fillId="12" borderId="1" applyFont="1" applyFill="1" applyBorder="1"/>
    <xf fontId="51" borderId="1" applyFont="1" applyBorder="1"/>
    <xf fontId="51" borderId="1" applyFont="1" applyBorder="1">
      <alignment vertical="center" wrapText="1"/>
    </xf>
    <xf numFmtId="38" fontId="51" fillId="12" borderId="1" applyNumberFormat="1" applyFont="1" applyFill="1" applyBorder="1">
      <alignment horizontal="center" vertical="center"/>
    </xf>
    <xf fontId="51" fillId="12" borderId="1" applyFont="1" applyFill="1" applyBorder="1">
      <alignment horizontal="center" vertical="center"/>
    </xf>
    <xf fontId="52" borderId="1" applyFont="1" applyBorder="1">
      <alignment vertical="center"/>
    </xf>
    <xf numFmtId="38" fontId="51" borderId="1" applyNumberFormat="1" applyFont="1" applyBorder="1"/>
    <xf fontId="51" borderId="1" applyFont="1" applyBorder="1">
      <alignment horizontal="center" vertical="center"/>
    </xf>
    <xf fontId="56" applyFont="1"/>
    <xf fontId="56" applyFont="1">
      <alignment vertical="center" wrapText="1"/>
    </xf>
    <xf fontId="56" applyFont="1">
      <alignment vertical="center"/>
    </xf>
    <xf fontId="57" borderId="6" applyFont="1" applyBorder="1"/>
    <xf fontId="49" applyFont="1"/>
    <xf numFmtId="38" fontId="56" applyNumberFormat="1" applyFont="1">
      <alignment vertical="center"/>
    </xf>
    <xf fontId="2" applyFont="1"/>
    <xf fontId="2" applyFont="1">
      <alignment vertical="center" wrapText="1"/>
    </xf>
    <xf numFmtId="38" fontId="2" applyNumberFormat="1" applyFont="1"/>
    <xf numFmtId="38" fontId="2" applyNumberFormat="1" applyFont="1">
      <alignment vertical="center" wrapText="1"/>
    </xf>
    <xf fontId="44" fillId="6" borderId="1" applyFont="1" applyFill="1" applyBorder="1">
      <alignment horizontal="center" vertical="center" wrapText="1"/>
    </xf>
    <xf fontId="44" fillId="6" borderId="1" applyFont="1" applyFill="1" applyBorder="1">
      <alignment horizontal="center" vertical="center"/>
    </xf>
    <xf fontId="44" fillId="6" borderId="1" applyFont="1" applyFill="1" applyBorder="1"/>
    <xf fontId="56" borderId="1" applyFont="1" applyBorder="1">
      <alignment horizontal="center" vertical="center" wrapText="1"/>
    </xf>
    <xf fontId="37" applyFont="1"/>
    <xf numFmtId="167" fontId="58" borderId="1" applyNumberFormat="1" applyFont="1" applyBorder="1"/>
    <xf fontId="59" applyFont="1">
      <alignment vertical="center"/>
    </xf>
    <xf numFmtId="167" fontId="60" borderId="1" applyNumberFormat="1" applyFont="1" applyBorder="1"/>
    <xf fontId="61" applyFont="1">
      <alignment vertical="center"/>
    </xf>
    <xf fontId="59" applyFont="1"/>
    <xf fontId="50" borderId="1" applyFont="1" applyBorder="1"/>
    <xf fontId="62" applyFont="1"/>
    <xf fontId="37" applyFont="1">
      <alignment vertical="center"/>
    </xf>
    <xf fontId="63" applyFont="1">
      <alignment vertical="center"/>
    </xf>
    <xf fontId="64" applyFont="1">
      <alignment vertical="center"/>
    </xf>
    <xf fontId="49" borderId="1" applyFont="1" applyBorder="1"/>
    <xf fontId="63" applyFont="1"/>
    <xf numFmtId="167" fontId="65" borderId="1" applyNumberFormat="1" applyFont="1" applyBorder="1"/>
    <xf fontId="65" borderId="1" applyFont="1" applyBorder="1">
      <alignment vertical="center"/>
    </xf>
    <xf numFmtId="167" fontId="65" borderId="1" applyNumberFormat="1" applyFont="1" applyBorder="1">
      <alignment vertical="center"/>
    </xf>
    <xf fontId="66" borderId="1" applyFont="1" applyBorder="1">
      <alignment vertical="center"/>
    </xf>
    <xf fontId="65" borderId="1" applyFont="1" applyBorder="1"/>
    <xf numFmtId="164" fontId="49" borderId="1" applyNumberFormat="1" applyFont="1" applyBorder="1">
      <alignment horizontal="center" vertical="center" wrapText="1"/>
    </xf>
    <xf fontId="66" borderId="1" applyFont="1" applyBorder="1"/>
    <xf fontId="65" borderId="1" applyFont="1" applyBorder="1">
      <alignment vertical="center" wrapText="1"/>
    </xf>
    <xf fontId="65" applyFont="1"/>
    <xf fontId="4" applyFont="1"/>
    <xf numFmtId="164" fontId="11" fillId="13" borderId="4" applyNumberFormat="1" applyFont="1" applyFill="1" applyBorder="1">
      <alignment horizontal="center" vertical="center"/>
    </xf>
    <xf fontId="4" fillId="14" applyFont="1" applyFill="1">
      <alignment horizontal="center" vertical="center" wrapText="1"/>
    </xf>
    <xf fontId="4" applyFont="1">
      <alignment horizontal="center" vertical="center" wrapText="1"/>
    </xf>
    <xf fontId="4" applyFont="1">
      <alignment vertical="center"/>
    </xf>
    <xf fontId="4" borderId="7" applyFont="1" applyBorder="1">
      <alignment vertical="center" wrapText="1"/>
    </xf>
    <xf fontId="4" borderId="8" applyFont="1" applyBorder="1">
      <alignment vertical="center" wrapText="1"/>
    </xf>
    <xf fontId="67" fillId="14" applyFont="1" applyFill="1"/>
    <xf fontId="67" fillId="14" applyFont="1" applyFill="1">
      <alignment horizontal="center" vertical="center"/>
    </xf>
    <xf fontId="4" applyFont="1">
      <alignment vertical="center" wrapText="1"/>
    </xf>
    <xf fontId="4" applyFont="1">
      <alignment vertical="top" wrapText="1"/>
    </xf>
    <xf fontId="68" applyFont="1">
      <alignment vertical="center" wrapText="1"/>
    </xf>
    <xf fontId="67" applyFont="1">
      <alignment vertical="center" wrapText="1"/>
    </xf>
    <xf fontId="67" applyFont="1"/>
    <xf numFmtId="164" fontId="68" applyNumberFormat="1" applyFont="1">
      <alignment vertical="center" wrapText="1"/>
    </xf>
    <xf numFmtId="164" fontId="67" fillId="12" applyNumberFormat="1" applyFont="1" applyFill="1"/>
    <xf fontId="67" fillId="12" applyFont="1" applyFill="1"/>
    <xf fontId="3" fillId="2" applyFont="1" applyFill="1">
      <alignment horizontal="center" vertical="center"/>
    </xf>
    <xf numFmtId="164" fontId="7" fillId="2" applyNumberFormat="1" applyFont="1" applyFill="1">
      <alignment horizontal="center" vertical="center"/>
    </xf>
    <xf fontId="7" fillId="2" borderId="3" applyFont="1" applyFill="1" applyBorder="1">
      <alignment horizontal="center" vertical="center"/>
    </xf>
    <xf numFmtId="164" fontId="7" fillId="2" borderId="3" applyNumberFormat="1" applyFont="1" applyFill="1" applyBorder="1">
      <alignment horizontal="center" vertical="center"/>
    </xf>
    <xf fontId="69" borderId="1" applyFont="1" applyBorder="1">
      <alignment horizontal="center" vertical="center" wrapText="1"/>
    </xf>
    <xf fontId="57" fillId="12" borderId="6" applyFont="1" applyFill="1" applyBorder="1"/>
    <xf fontId="57" borderId="6" applyFont="1" applyBorder="1">
      <alignment vertical="center" wrapText="1"/>
    </xf>
    <xf numFmtId="38" fontId="57" fillId="12" borderId="6" applyNumberFormat="1" applyFont="1" applyFill="1" applyBorder="1">
      <alignment horizontal="center" vertical="center"/>
    </xf>
    <xf fontId="57" fillId="12" borderId="6" applyFont="1" applyFill="1" applyBorder="1">
      <alignment horizontal="center" vertical="center"/>
    </xf>
    <xf fontId="57" fillId="12" borderId="4" applyFont="1" applyFill="1" applyBorder="1"/>
    <xf fontId="57" borderId="4" applyFont="1" applyBorder="1"/>
    <xf fontId="57" borderId="4" applyFont="1" applyBorder="1">
      <alignment vertical="center" wrapText="1"/>
    </xf>
    <xf numFmtId="38" fontId="57" fillId="12" borderId="4" applyNumberFormat="1" applyFont="1" applyFill="1" applyBorder="1">
      <alignment horizontal="center" vertical="center"/>
    </xf>
    <xf fontId="57" fillId="12" borderId="4" applyFont="1" applyFill="1" applyBorder="1">
      <alignment horizontal="center" vertical="center"/>
    </xf>
    <xf fontId="57" borderId="9" applyFont="1" applyBorder="1">
      <alignment vertical="center" wrapText="1"/>
    </xf>
    <xf fontId="57" borderId="6" applyFont="1" applyBorder="1">
      <alignment horizontal="center" vertical="center"/>
    </xf>
    <xf fontId="57" borderId="4" applyFont="1" applyBorder="1">
      <alignment horizontal="center" vertical="center"/>
    </xf>
    <xf fontId="49" applyFont="1">
      <alignment vertical="center" wrapText="1"/>
    </xf>
    <xf numFmtId="38" fontId="4" applyNumberFormat="1" applyFont="1"/>
    <xf numFmtId="38" fontId="4" applyNumberFormat="1" applyFont="1">
      <alignment vertical="center" wrapText="1"/>
    </xf>
    <xf fontId="50" applyFont="1">
      <alignment vertical="center" wrapText="1"/>
    </xf>
    <xf fontId="70" fillId="6" borderId="1" applyFont="1" applyFill="1" applyBorder="1">
      <alignment horizontal="center" vertical="center"/>
    </xf>
    <xf fontId="70" fillId="6" borderId="1" applyFont="1" applyFill="1" applyBorder="1">
      <alignment horizontal="center" vertical="center" wrapText="1"/>
    </xf>
    <xf fontId="16" applyFont="1"/>
    <xf fontId="46" borderId="1" applyFont="1" applyBorder="1">
      <alignment horizontal="center" vertical="center"/>
    </xf>
    <xf numFmtId="167" fontId="46" borderId="1" applyNumberFormat="1" applyFont="1" applyBorder="1">
      <alignment horizontal="center" vertical="center"/>
    </xf>
    <xf fontId="46" borderId="1" applyFont="1" applyBorder="1">
      <alignment horizontal="left" vertical="center" wrapText="1"/>
    </xf>
    <xf fontId="71" borderId="1" applyFont="1" applyBorder="1">
      <alignment horizontal="center" vertical="center"/>
    </xf>
    <xf fontId="72" borderId="1" applyFont="1" applyBorder="1">
      <alignment horizontal="center" vertical="center"/>
    </xf>
    <xf fontId="73" borderId="1" applyFont="1" applyBorder="1">
      <alignment horizontal="center" vertical="center"/>
    </xf>
    <xf numFmtId="49" fontId="46" borderId="1" applyNumberFormat="1" applyFont="1" applyBorder="1">
      <alignment horizontal="center" vertical="center"/>
    </xf>
    <xf numFmtId="49" fontId="73" borderId="1" applyNumberFormat="1" applyFont="1" applyBorder="1">
      <alignment horizontal="center" vertical="center"/>
    </xf>
    <xf fontId="46" borderId="1" applyFont="1" applyBorder="1">
      <alignment vertical="center" wrapText="1"/>
    </xf>
    <xf fontId="74" applyFont="1"/>
    <xf fontId="75" applyFont="1"/>
    <xf numFmtId="164" fontId="57" fillId="6" borderId="5" applyNumberFormat="1" applyFont="1" applyFill="1" applyBorder="1">
      <alignment horizontal="center" vertical="center"/>
    </xf>
    <xf numFmtId="164" fontId="57" fillId="6" borderId="4" applyNumberFormat="1" applyFont="1" applyFill="1" applyBorder="1">
      <alignment horizontal="center" vertical="center" wrapText="1"/>
    </xf>
    <xf numFmtId="164" fontId="57" fillId="6" borderId="4" applyNumberFormat="1" applyFont="1" applyFill="1" applyBorder="1">
      <alignment horizontal="center" vertical="center"/>
    </xf>
    <xf numFmtId="164" fontId="57" fillId="6" borderId="10" applyNumberFormat="1" applyFont="1" applyFill="1" applyBorder="1">
      <alignment horizontal="center" vertical="center"/>
    </xf>
    <xf numFmtId="164" fontId="57" fillId="6" borderId="11" applyNumberFormat="1" applyFont="1" applyFill="1" applyBorder="1">
      <alignment horizontal="center" vertical="center"/>
    </xf>
    <xf numFmtId="164" fontId="11" fillId="6" borderId="4" applyNumberFormat="1" applyFont="1" applyFill="1" applyBorder="1">
      <alignment horizontal="center" vertical="center"/>
    </xf>
    <xf numFmtId="164" fontId="11" fillId="6" borderId="10" applyNumberFormat="1" applyFont="1" applyFill="1" applyBorder="1">
      <alignment horizontal="center" vertical="center"/>
    </xf>
    <xf numFmtId="164" fontId="11" fillId="6" borderId="11" applyNumberFormat="1" applyFont="1" applyFill="1" applyBorder="1">
      <alignment horizontal="center" vertical="center"/>
    </xf>
    <xf numFmtId="164" fontId="11" fillId="7" borderId="11" applyNumberFormat="1" applyFont="1" applyFill="1" applyBorder="1">
      <alignment horizontal="center" vertical="center" wrapText="1"/>
    </xf>
    <xf numFmtId="164" fontId="29" fillId="7" borderId="11" applyNumberFormat="1" applyFont="1" applyFill="1" applyBorder="1">
      <alignment horizontal="center" vertical="center" wrapText="1"/>
    </xf>
    <xf numFmtId="164" fontId="6" applyNumberFormat="1" applyFont="1">
      <alignment horizontal="center" vertical="center" wrapText="1"/>
    </xf>
    <xf numFmtId="164" fontId="57" fillId="6" borderId="5" applyNumberFormat="1" applyFont="1" applyFill="1" applyBorder="1">
      <alignment horizontal="center" vertical="center" wrapText="1"/>
    </xf>
    <xf numFmtId="167" fontId="45" borderId="1" applyNumberFormat="1" applyFont="1" applyBorder="1">
      <alignment horizontal="center" vertical="center"/>
    </xf>
    <xf numFmtId="164" fontId="45" borderId="1" applyNumberFormat="1" applyFont="1" applyBorder="1">
      <alignment horizontal="center" vertical="center"/>
    </xf>
    <xf numFmtId="164" fontId="71" borderId="1" applyNumberFormat="1" applyFont="1" applyBorder="1">
      <alignment horizontal="center" vertical="center"/>
    </xf>
    <xf numFmtId="164" fontId="11" borderId="12" applyNumberFormat="1" applyFont="1" applyBorder="1">
      <alignment horizontal="center" vertical="center"/>
    </xf>
    <xf numFmtId="164" fontId="11" borderId="4" applyNumberFormat="1" applyFont="1" applyBorder="1">
      <alignment horizontal="center" vertical="center"/>
    </xf>
    <xf numFmtId="164" fontId="11" borderId="10" applyNumberFormat="1" applyFont="1" applyBorder="1">
      <alignment horizontal="center" vertical="center"/>
    </xf>
    <xf numFmtId="10" fontId="11" borderId="10" applyNumberFormat="1" applyFont="1" applyBorder="1">
      <alignment horizontal="center" vertical="center"/>
    </xf>
    <xf numFmtId="164" fontId="8" fillId="7" borderId="1" applyNumberFormat="1" applyFont="1" applyFill="1" applyBorder="1">
      <alignment horizontal="center" vertical="center"/>
    </xf>
    <xf numFmtId="164" fontId="31" fillId="7" borderId="1" applyNumberFormat="1" applyFont="1" applyFill="1" applyBorder="1">
      <alignment horizontal="center" vertical="center"/>
    </xf>
    <xf numFmtId="164" fontId="8" fillId="7" borderId="1" applyNumberFormat="1" applyFont="1" applyFill="1" applyBorder="1">
      <alignment horizontal="center" vertical="center" wrapText="1"/>
    </xf>
    <xf numFmtId="164" fontId="45" fillId="12" borderId="1" applyNumberFormat="1" applyFont="1" applyFill="1" applyBorder="1">
      <alignment horizontal="center" vertical="center"/>
    </xf>
    <xf numFmtId="164" fontId="76" borderId="10" applyNumberFormat="1" applyFont="1" applyBorder="1">
      <alignment horizontal="center" vertical="center"/>
    </xf>
    <xf numFmtId="164" fontId="68" fillId="12" borderId="4" applyNumberFormat="1" applyFont="1" applyFill="1" applyBorder="1">
      <alignment horizontal="center" vertical="center"/>
    </xf>
    <xf numFmtId="164" fontId="68" borderId="4" applyNumberFormat="1" applyFont="1" applyBorder="1">
      <alignment horizontal="center" vertical="center"/>
    </xf>
    <xf fontId="47" fillId="6" borderId="1" applyFont="1" applyFill="1" applyBorder="1">
      <alignment horizontal="center" vertical="center"/>
    </xf>
    <xf fontId="47" fillId="7" borderId="1" applyFont="1" applyFill="1" applyBorder="1">
      <alignment horizontal="center" vertical="center" wrapText="1"/>
    </xf>
    <xf numFmtId="164" fontId="47" fillId="6" borderId="1" applyNumberFormat="1" applyFont="1" applyFill="1" applyBorder="1">
      <alignment horizontal="center" vertical="center"/>
    </xf>
    <xf fontId="11" fillId="6" borderId="4" applyFont="1" applyFill="1" applyBorder="1">
      <alignment horizontal="center" vertical="center"/>
    </xf>
    <xf fontId="11" fillId="6" borderId="10" applyFont="1" applyFill="1" applyBorder="1">
      <alignment horizontal="center" vertical="center"/>
    </xf>
    <xf fontId="11" fillId="6" borderId="11" applyFont="1" applyFill="1" applyBorder="1">
      <alignment horizontal="center" vertical="center"/>
    </xf>
    <xf fontId="11" fillId="7" borderId="11" applyFont="1" applyFill="1" applyBorder="1">
      <alignment horizontal="center" vertical="center" wrapText="1"/>
    </xf>
    <xf fontId="29" fillId="7" borderId="11" applyFont="1" applyFill="1" applyBorder="1">
      <alignment horizontal="center" vertical="center" wrapText="1"/>
    </xf>
    <xf numFmtId="164" fontId="45" borderId="1" applyNumberFormat="1" applyFont="1" applyBorder="1">
      <alignment horizontal="left" vertical="center" wrapText="1"/>
    </xf>
    <xf fontId="45" borderId="1" applyFont="1" applyBorder="1">
      <alignment horizontal="center" vertical="center"/>
    </xf>
    <xf numFmtId="164" fontId="45" fillId="7" borderId="1" applyNumberFormat="1" applyFont="1" applyFill="1" applyBorder="1">
      <alignment horizontal="center" vertical="center"/>
    </xf>
    <xf numFmtId="164" fontId="77" borderId="1" applyNumberFormat="1" applyFont="1" applyBorder="1">
      <alignment horizontal="left" vertical="center" wrapText="1"/>
    </xf>
    <xf fontId="11" borderId="10" applyFont="1" applyBorder="1">
      <alignment horizontal="center" vertical="center"/>
    </xf>
    <xf numFmtId="164" fontId="34" applyNumberFormat="1" applyFont="1">
      <alignment horizontal="center" vertical="center"/>
    </xf>
    <xf fontId="8" fillId="7" borderId="1" applyFont="1" applyFill="1" applyBorder="1">
      <alignment horizontal="center" vertical="center"/>
    </xf>
    <xf fontId="8" fillId="7" borderId="1" applyFont="1" applyFill="1" applyBorder="1">
      <alignment horizontal="center" vertical="center" wrapText="1"/>
    </xf>
    <xf numFmtId="164" fontId="34" applyNumberFormat="1" applyFont="1">
      <alignment horizontal="right" vertical="center"/>
    </xf>
    <xf numFmtId="164" fontId="71" fillId="7" borderId="1" applyNumberFormat="1" applyFont="1" applyFill="1" applyBorder="1">
      <alignment horizontal="center" vertical="center"/>
    </xf>
    <xf numFmtId="164" fontId="42" borderId="10" applyNumberFormat="1" applyFont="1" applyBorder="1">
      <alignment horizontal="center" vertical="center"/>
    </xf>
    <xf fontId="11" borderId="4" applyFont="1" applyBorder="1">
      <alignment horizontal="center" vertical="center"/>
    </xf>
    <xf fontId="76" borderId="10" applyFont="1" applyBorder="1">
      <alignment horizontal="center" vertical="center"/>
    </xf>
    <xf fontId="45" borderId="1" applyFont="1" applyBorder="1">
      <alignment vertical="center" wrapText="1"/>
    </xf>
    <xf numFmtId="168" fontId="78" fillId="7" borderId="1" applyNumberFormat="1" applyFont="1" applyFill="1" applyBorder="1">
      <alignment horizontal="center" vertical="center"/>
    </xf>
    <xf fontId="34" applyFont="1">
      <alignment horizontal="center" vertical="center"/>
    </xf>
    <xf fontId="77" borderId="1" applyFont="1" applyBorder="1">
      <alignment horizontal="left" vertical="center" wrapText="1"/>
    </xf>
    <xf fontId="47" fillId="6" borderId="1" applyFont="1" applyFill="1" applyBorder="1">
      <alignment horizontal="center" vertical="center" wrapText="1"/>
    </xf>
    <xf numFmtId="164" fontId="45" borderId="1" applyNumberFormat="1" applyFont="1" applyBorder="1">
      <alignment vertical="center" wrapText="1"/>
    </xf>
    <xf fontId="45" borderId="1" applyFont="1" applyBorder="1">
      <alignment horizontal="left" vertical="center" wrapText="1"/>
    </xf>
    <xf numFmtId="168" fontId="71" fillId="7" borderId="1" applyNumberFormat="1" applyFont="1" applyFill="1" applyBorder="1">
      <alignment horizontal="center" vertical="center"/>
    </xf>
    <xf fontId="71" fillId="7" borderId="1" applyFont="1" applyFill="1" applyBorder="1">
      <alignment horizontal="center" vertical="center"/>
    </xf>
    <xf numFmtId="168" fontId="45" fillId="7" borderId="1" applyNumberFormat="1" applyFont="1" applyFill="1" applyBorder="1">
      <alignment horizontal="center" vertical="center"/>
    </xf>
    <xf numFmtId="164" fontId="45" applyNumberFormat="1" applyFont="1">
      <alignment horizontal="center" vertical="center"/>
    </xf>
    <xf fontId="46" borderId="4" applyFont="1" applyBorder="1">
      <alignment horizontal="center" vertical="center"/>
    </xf>
    <xf numFmtId="38" fontId="71" borderId="1" applyNumberFormat="1" applyFont="1" applyBorder="1">
      <alignment horizontal="center" vertical="center"/>
    </xf>
    <xf numFmtId="38" fontId="46" borderId="1" applyNumberFormat="1" applyFont="1" applyBorder="1">
      <alignment horizontal="center" vertical="center"/>
    </xf>
    <xf fontId="11" fillId="6" borderId="5" applyFont="1" applyFill="1" applyBorder="1">
      <alignment horizontal="center" vertical="center" wrapText="1"/>
    </xf>
    <xf fontId="11" fillId="6" borderId="5" applyFont="1" applyFill="1" applyBorder="1">
      <alignment horizontal="center" vertical="center"/>
    </xf>
    <xf fontId="11" fillId="6" borderId="4" applyFont="1" applyFill="1" applyBorder="1">
      <alignment horizontal="center" vertical="center" wrapText="1"/>
    </xf>
    <xf fontId="30" borderId="4" applyFont="1" applyBorder="1">
      <alignment horizontal="center" vertical="center" wrapText="1"/>
    </xf>
    <xf numFmtId="167" fontId="11" borderId="5" applyNumberFormat="1" applyFont="1" applyBorder="1">
      <alignment horizontal="center" vertical="center"/>
    </xf>
    <xf fontId="79" applyFont="1">
      <alignment vertical="center"/>
    </xf>
    <xf fontId="68" fillId="12" borderId="4" applyFont="1" applyFill="1" applyBorder="1">
      <alignment horizontal="center" vertical="center"/>
    </xf>
    <xf fontId="68" borderId="4" applyFont="1" applyBorder="1">
      <alignment horizontal="center" vertical="center"/>
    </xf>
    <xf fontId="18" borderId="4" applyFont="1" applyBorder="1">
      <alignment horizontal="center" vertical="center"/>
    </xf>
    <xf numFmtId="164" fontId="4" applyNumberFormat="1" applyFont="1">
      <alignment vertical="center"/>
    </xf>
    <xf numFmtId="10" fontId="2" applyNumberFormat="1" applyFont="1">
      <alignment vertical="center"/>
    </xf>
    <xf numFmtId="164" fontId="16" borderId="1" applyNumberFormat="1" applyFont="1" applyBorder="1">
      <alignment horizontal="center" vertical="center"/>
    </xf>
    <xf numFmtId="38" fontId="2" applyNumberFormat="1" applyFont="1">
      <alignment vertical="center"/>
    </xf>
    <xf numFmtId="167" fontId="11" borderId="2" applyNumberFormat="1" applyFont="1" applyBorder="1">
      <alignment horizontal="center" vertical="center"/>
    </xf>
    <xf fontId="10" borderId="1" applyFont="1" applyBorder="1">
      <alignment vertical="center"/>
    </xf>
    <xf fontId="80" fillId="7" borderId="1" applyFont="1" applyFill="1" applyBorder="1">
      <alignment horizontal="center" vertical="center"/>
    </xf>
    <xf numFmtId="164" fontId="11" borderId="1" applyNumberFormat="1" applyFont="1" applyBorder="1">
      <alignment horizontal="center" vertical="center"/>
    </xf>
    <xf fontId="11" borderId="1" applyFont="1" applyBorder="1">
      <alignment horizontal="center" vertical="center"/>
    </xf>
    <xf numFmtId="38" fontId="11" borderId="1" applyNumberFormat="1" applyFont="1" applyBorder="1">
      <alignment horizontal="center" vertical="center"/>
    </xf>
    <xf fontId="34" borderId="1" applyFont="1" applyBorder="1">
      <alignment horizontal="center" vertical="center"/>
    </xf>
    <xf numFmtId="164" fontId="29" fillId="2" borderId="7" applyNumberFormat="1" applyFont="1" applyFill="1" applyBorder="1">
      <alignment horizontal="center" vertical="center"/>
    </xf>
    <xf fontId="81" fillId="2" borderId="7" applyFont="1" applyFill="1" applyBorder="1">
      <alignment horizontal="center" vertical="center"/>
    </xf>
    <xf numFmtId="169" fontId="81" fillId="2" borderId="7" applyNumberFormat="1" applyFont="1" applyFill="1" applyBorder="1">
      <alignment horizontal="center" vertical="center"/>
    </xf>
    <xf numFmtId="164" fontId="8" borderId="7" applyNumberFormat="1" applyFont="1" applyBorder="1">
      <alignment horizontal="center" vertical="center"/>
    </xf>
    <xf numFmtId="164" fontId="29" fillId="2" borderId="7" applyNumberFormat="1" applyFont="1" applyFill="1" applyBorder="1">
      <alignment horizontal="center" vertical="center" wrapText="1"/>
    </xf>
    <xf numFmtId="164" fontId="12" borderId="7" applyNumberFormat="1" applyFont="1" applyBorder="1">
      <alignment horizontal="center" vertical="center"/>
    </xf>
    <xf numFmtId="164" fontId="81" fillId="2" borderId="7" applyNumberFormat="1" applyFont="1" applyFill="1" applyBorder="1">
      <alignment horizontal="center" vertical="center"/>
    </xf>
    <xf numFmtId="38" fontId="8" borderId="7" applyNumberFormat="1" applyFont="1" applyBorder="1">
      <alignment horizontal="center" vertical="center"/>
    </xf>
    <xf numFmtId="38" fontId="8" borderId="7" applyNumberFormat="1" applyFont="1" applyBorder="1">
      <alignment horizontal="center" vertical="center" wrapText="1"/>
    </xf>
    <xf fontId="82" fillId="2" borderId="1" applyFont="1" applyFill="1" applyBorder="1">
      <alignment horizontal="center" vertical="center" wrapText="1"/>
    </xf>
    <xf fontId="83" borderId="1" applyFont="1" applyBorder="1">
      <alignment horizontal="center" vertical="center"/>
    </xf>
    <xf fontId="16" applyFont="1">
      <alignment horizontal="center" vertical="center"/>
    </xf>
    <xf numFmtId="164" fontId="7" fillId="2" borderId="3" applyNumberFormat="1" applyFont="1" applyFill="1" applyBorder="1">
      <alignment horizontal="center" vertical="center" wrapText="1"/>
    </xf>
    <xf numFmtId="164" fontId="8" borderId="3" applyNumberFormat="1" applyFont="1" applyBorder="1">
      <alignment horizontal="center" vertical="center"/>
    </xf>
    <xf fontId="8" borderId="3" applyFont="1" applyBorder="1">
      <alignment horizontal="center" vertical="center"/>
    </xf>
    <xf numFmtId="38" fontId="8" borderId="3" applyNumberFormat="1" applyFont="1" applyBorder="1">
      <alignment horizontal="center" vertical="center"/>
    </xf>
    <xf numFmtId="165" fontId="8" borderId="3" applyNumberFormat="1" applyFont="1" applyBorder="1">
      <alignment horizontal="center" vertical="center"/>
    </xf>
    <xf fontId="57" fillId="2" borderId="1" applyFont="1" applyFill="1" applyBorder="1">
      <alignment horizontal="center" vertical="center"/>
    </xf>
    <xf numFmtId="164" fontId="84" fillId="2" borderId="1" applyNumberFormat="1" applyFont="1" applyFill="1" applyBorder="1">
      <alignment horizontal="center" vertical="center"/>
    </xf>
    <xf fontId="85" borderId="1" applyFont="1" applyBorder="1">
      <alignment horizontal="center" vertical="center"/>
    </xf>
    <xf numFmtId="164" fontId="49" borderId="1" applyNumberFormat="1" applyFont="1" applyBorder="1">
      <alignment horizontal="center" vertical="center"/>
    </xf>
    <xf numFmtId="9" fontId="49" borderId="1" applyNumberFormat="1" applyFont="1" applyBorder="1">
      <alignment horizontal="center" vertical="center"/>
    </xf>
    <xf numFmtId="9" fontId="56" borderId="1" applyNumberFormat="1" applyFont="1" applyBorder="1">
      <alignment horizontal="center" vertical="center"/>
    </xf>
    <xf numFmtId="168" fontId="18" borderId="4" applyNumberFormat="1" applyFont="1" applyBorder="1">
      <alignment horizontal="center" vertical="center"/>
    </xf>
    <xf numFmtId="164" fontId="86" fillId="15" borderId="1" applyNumberFormat="1" applyFont="1" applyFill="1" applyBorder="1">
      <alignment horizontal="center" vertical="center" wrapText="1"/>
    </xf>
    <xf numFmtId="164" fontId="86" fillId="16" borderId="1" applyNumberFormat="1" applyFont="1" applyFill="1" applyBorder="1">
      <alignment horizontal="center" vertical="center" wrapText="1"/>
    </xf>
    <xf numFmtId="9" fontId="86" fillId="16" borderId="1" applyNumberFormat="1" applyFont="1" applyFill="1" applyBorder="1">
      <alignment horizontal="center" vertical="center" wrapText="1"/>
    </xf>
    <xf numFmtId="9" fontId="2" applyNumberFormat="1" applyFont="1">
      <alignment vertical="center"/>
    </xf>
    <xf numFmtId="164" fontId="6" applyNumberFormat="1" applyFont="1">
      <alignment vertical="center" wrapText="1"/>
    </xf>
    <xf numFmtId="9" fontId="6" applyNumberFormat="1" applyFont="1">
      <alignment vertical="center" wrapText="1"/>
    </xf>
    <xf numFmtId="40" fontId="2" applyNumberFormat="1" applyFont="1">
      <alignment vertical="center"/>
    </xf>
    <xf numFmtId="40" fontId="5" fillId="2" borderId="1" applyNumberFormat="1" applyFont="1" applyFill="1" applyBorder="1">
      <alignment horizontal="center" vertical="center"/>
    </xf>
    <xf numFmtId="40" fontId="7" fillId="2" borderId="1" applyNumberFormat="1" applyFont="1" applyFill="1" applyBorder="1">
      <alignment horizontal="center" vertical="center"/>
    </xf>
    <xf numFmtId="164" fontId="2" applyNumberFormat="1" applyFont="1">
      <alignment vertical="center"/>
    </xf>
    <xf numFmtId="170" fontId="8" borderId="1" applyNumberFormat="1" applyFont="1" applyBorder="1">
      <alignment horizontal="center" vertical="center"/>
    </xf>
    <xf numFmtId="164" fontId="5" borderId="1" applyNumberFormat="1" applyFont="1" applyBorder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Mode="Internal" Target="worksheets/sheet11.xml"/><Relationship Id="rId5" Type="http://schemas.openxmlformats.org/officeDocument/2006/relationships/worksheet" TargetMode="Internal" Target="worksheets/sheet3.xml"/><Relationship Id="rId14" Type="http://schemas.openxmlformats.org/officeDocument/2006/relationships/worksheet" TargetMode="Internal" Target="worksheets/sheet12.xml"/><Relationship Id="rId4" Type="http://schemas.openxmlformats.org/officeDocument/2006/relationships/worksheet" TargetMode="Internal" Target="worksheets/sheet2.xml"/><Relationship Id="rId6" Type="http://schemas.openxmlformats.org/officeDocument/2006/relationships/worksheet" TargetMode="Internal" Target="worksheets/sheet4.xml"/><Relationship Id="rId9" Type="http://schemas.openxmlformats.org/officeDocument/2006/relationships/worksheet" TargetMode="Internal" Target="worksheets/sheet7.xml"/><Relationship Id="rId10" Type="http://schemas.openxmlformats.org/officeDocument/2006/relationships/worksheet" TargetMode="Internal" Target="worksheets/sheet8.xml"/><Relationship Id="rId2" Type="http://schemas.openxmlformats.org/officeDocument/2006/relationships/styles" TargetMode="Internal" Target="styles.xml"/><Relationship Id="rId12" Type="http://schemas.openxmlformats.org/officeDocument/2006/relationships/worksheet" TargetMode="Internal" Target="worksheets/sheet10.xml"/><Relationship Id="rId1" Type="http://schemas.openxmlformats.org/officeDocument/2006/relationships/sharedStrings" TargetMode="Internal" Target="sharedStrings.xml"/><Relationship Id="rId8" Type="http://schemas.openxmlformats.org/officeDocument/2006/relationships/worksheet" TargetMode="Internal" Target="worksheets/sheet6.xml"/><Relationship Id="rId11" Type="http://schemas.openxmlformats.org/officeDocument/2006/relationships/worksheet" TargetMode="Internal" Target="worksheets/sheet9.xml"/><Relationship Id="rId15" Type="http://schemas.openxmlformats.org/officeDocument/2006/relationships/worksheet" TargetMode="Internal" Target="worksheets/sheet13.xml"/><Relationship Id="rId3" Type="http://schemas.openxmlformats.org/officeDocument/2006/relationships/worksheet" TargetMode="Internal" Target="worksheets/sheet1.xml"/><Relationship Id="rId7" Type="http://schemas.openxmlformats.org/officeDocument/2006/relationships/worksheet" TargetMode="Internal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视频渠道粉丝增长情况</a:t>
            </a:r>
          </a:p>
        </c:rich>
      </c:tx>
      <c:layout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数据对比!C26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数据对比!C27:C29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数据对比!D26</c:f>
            </c:strRef>
          </c:tx>
          <c:spPr>
            <a:solidFill>
              <a:srgbClr val="EC8D5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数据对比!D27:D29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数据对比!E26</c:f>
            </c:strRef>
          </c:tx>
          <c:spPr>
            <a:solidFill>
              <a:srgbClr val="F0A37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数据对比!E27:E29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数据对比!F26</c:f>
            </c:strRef>
          </c:tx>
          <c:spPr>
            <a:solidFill>
              <a:srgbClr val="F3B89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数据对比!F27:F29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数据对比!G26</c:f>
            </c:strRef>
          </c:tx>
          <c:spPr>
            <a:solidFill>
              <a:srgbClr val="F7CEB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数据对比!G27:G29</c:f>
              <c:numCache>
                <c:formatCode>General</c:formatCode>
              </c:numCache>
            </c:numRef>
          </c:val>
        </c:ser>
        <c:ser>
          <c:idx val="5"/>
          <c:order val="5"/>
          <c:tx>
            <c:strRef>
              <c:f>数据对比!H26</c:f>
            </c:strRef>
          </c:tx>
          <c:spPr>
            <a:solidFill>
              <a:srgbClr val="FBE4D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数据对比!B27:B29</c:f>
            </c:strRef>
          </c:cat>
          <c:val>
            <c:numRef>
              <c:f>数据对比!H27:H29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各短视频渠道播放总数（w）</a:t>
            </a:r>
          </a:p>
        </c:rich>
      </c:tx>
      <c:layout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数据对比!C42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数据对比!C43:C45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数据对比!D42</c:f>
            </c:strRef>
          </c:tx>
          <c:spPr>
            <a:solidFill>
              <a:srgbClr val="EC8D5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数据对比!D43:D45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数据对比!E42</c:f>
            </c:strRef>
          </c:tx>
          <c:spPr>
            <a:solidFill>
              <a:srgbClr val="F0A37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数据对比!E43:E45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数据对比!F42</c:f>
            </c:strRef>
          </c:tx>
          <c:spPr>
            <a:solidFill>
              <a:srgbClr val="F3B89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数据对比!F43:F45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数据对比!G42</c:f>
            </c:strRef>
          </c:tx>
          <c:spPr>
            <a:solidFill>
              <a:srgbClr val="F7CEB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数据对比!G43:G45</c:f>
              <c:numCache>
                <c:formatCode>General</c:formatCode>
              </c:numCache>
            </c:numRef>
          </c:val>
        </c:ser>
        <c:ser>
          <c:idx val="5"/>
          <c:order val="5"/>
          <c:tx>
            <c:strRef>
              <c:f>数据对比!H42</c:f>
            </c:strRef>
          </c:tx>
          <c:spPr>
            <a:solidFill>
              <a:srgbClr val="FBE4D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数据对比!B43:B45</c:f>
            </c:strRef>
          </c:cat>
          <c:val>
            <c:numRef>
              <c:f>数据对比!H43:H45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工作表13!E43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工作表13!D44</c:f>
            </c:strRef>
          </c:cat>
          <c:val>
            <c:numRef>
              <c:f>工作表13!E44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工作表13!F43</c:f>
            </c:strRef>
          </c:tx>
          <c:spPr>
            <a:solidFill>
              <a:srgbClr val="ED935F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工作表13!D44</c:f>
            </c:strRef>
          </c:cat>
          <c:val>
            <c:numRef>
              <c:f>工作表13!F44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工作表13!G43</c:f>
            </c:strRef>
          </c:tx>
          <c:spPr>
            <a:solidFill>
              <a:srgbClr val="F2AE8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工作表13!D44</c:f>
            </c:strRef>
          </c:cat>
          <c:val>
            <c:numRef>
              <c:f>工作表13!G44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工作表13!H43</c:f>
            </c:strRef>
          </c:tx>
          <c:spPr>
            <a:solidFill>
              <a:srgbClr val="F6C9AF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工作表13!D44</c:f>
            </c:strRef>
          </c:cat>
          <c:val>
            <c:numRef>
              <c:f>工作表13!H44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工作表13!I43</c:f>
            </c:strRef>
          </c:tx>
          <c:spPr>
            <a:solidFill>
              <a:srgbClr val="FBE4D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工作表13!D44</c:f>
            </c:strRef>
          </c:cat>
          <c:val>
            <c:numRef>
              <c:f>工作表13!I44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工作表13!D35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工作表13!F34:J34</c:f>
            </c:strRef>
          </c:cat>
          <c:val>
            <c:numRef>
              <c:f>工作表13!F35:J35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粉丝总数（w）</a:t>
            </a:r>
          </a:p>
        </c:rich>
      </c:tx>
      <c:layout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工作表13!D3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工作表13!C4</c:f>
            </c:strRef>
          </c:cat>
          <c:val>
            <c:numRef>
              <c:f>工作表13!D4</c:f>
              <c:numCache>
                <c:formatCode>General</c:formatCode>
              </c:numCache>
            </c:numRef>
          </c:val>
        </c:ser>
        <c:ser>
          <c:idx val="1"/>
          <c:order val="1"/>
          <c:tx>
            <c:strRef>
              <c:f>工作表13!E3</c:f>
            </c:strRef>
          </c:tx>
          <c:spPr>
            <a:solidFill>
              <a:srgbClr val="ED935F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工作表13!C4</c:f>
            </c:strRef>
          </c:cat>
          <c:val>
            <c:numRef>
              <c:f>工作表13!E4</c:f>
              <c:numCache>
                <c:formatCode>General</c:formatCode>
              </c:numCache>
            </c:numRef>
          </c:val>
        </c:ser>
        <c:ser>
          <c:idx val="2"/>
          <c:order val="2"/>
          <c:tx>
            <c:strRef>
              <c:f>工作表13!F3</c:f>
            </c:strRef>
          </c:tx>
          <c:spPr>
            <a:solidFill>
              <a:srgbClr val="F2AE8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工作表13!C4</c:f>
            </c:strRef>
          </c:cat>
          <c:val>
            <c:numRef>
              <c:f>工作表13!F4</c:f>
              <c:numCache>
                <c:formatCode>General</c:formatCode>
              </c:numCache>
            </c:numRef>
          </c:val>
        </c:ser>
        <c:ser>
          <c:idx val="3"/>
          <c:order val="3"/>
          <c:tx>
            <c:strRef>
              <c:f>工作表13!G3</c:f>
            </c:strRef>
          </c:tx>
          <c:spPr>
            <a:solidFill>
              <a:srgbClr val="F6C9AF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工作表13!C4</c:f>
            </c:strRef>
          </c:cat>
          <c:val>
            <c:numRef>
              <c:f>工作表13!G4</c:f>
              <c:numCache>
                <c:formatCode>General</c:formatCode>
              </c:numCache>
            </c:numRef>
          </c:val>
        </c:ser>
        <c:ser>
          <c:idx val="4"/>
          <c:order val="4"/>
          <c:tx>
            <c:strRef>
              <c:f>工作表13!H3</c:f>
            </c:strRef>
          </c:tx>
          <c:spPr>
            <a:solidFill>
              <a:srgbClr val="FBE4D7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工作表13!C4</c:f>
            </c:strRef>
          </c:cat>
          <c:val>
            <c:numRef>
              <c:f>工作表13!H4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工作表13!D39</c:f>
            </c:strRef>
          </c:tx>
          <c:spPr>
            <a:solidFill>
              <a:srgbClr val="E97838">
                <a:alpha val="100000"/>
              </a:srgbClr>
            </a:solidFill>
          </c:spPr>
          <c:invertIfNegative val="0"/>
          <c:dLbls>
            <c:spPr>
              <a:noFill/>
              <a:ln>
                <a:noFill/>
              </a:ln>
            </c:spPr>
            <c:txPr>
              <a:bodyPr rot="0" spcFirstLastPara="1" vertOverflow="ellipsis" vert="horz" wrap="square" lIns="38100" tIns="19050" rIns="38100" bIns="195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dLblPos val="outEnd"/>
          </c:dLbls>
          <c:cat>
            <c:strRef>
              <c:f>工作表13!F38:J38</c:f>
            </c:strRef>
          </c:cat>
          <c:val>
            <c:numRef>
              <c:f>工作表13!F39:J39</c:f>
              <c:numCache>
                <c:formatCode>General</c:formatCode>
              </c:numCache>
            </c:numRef>
          </c:val>
        </c:ser>
        <c:gapWidth val="150"/>
        <c:overlap val="-27"/>
        <c:axId val="100000"/>
        <c:axId val="200000"/>
      </c:barChart>
      <c:catAx>
        <c:axId val="10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00000"/>
        <c:crosses val="autoZero"/>
        <c:auto val="1"/>
        <c:lblAlgn val="ctr"/>
        <c:lblOffset val="100"/>
        <c:noMultiLvlLbl val="0"/>
      </c:catAx>
      <c:valAx>
        <c:axId val="200000"/>
        <c:scaling>
          <c:orientation val="minMax"/>
        </c:scaling>
        <c:delete val="0"/>
        <c:axPos val="l"/>
        <c:majorGridlines>
          <c:spPr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00000"/>
        <c:crosses val="autoZero"/>
        <c:crossBetween val="between"/>
      </c:valAx>
    </c:plotArea>
    <c:legend>
      <c:legendPos val="b"/>
      <c:overlay val="0"/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/>
        </a:p>
      </c:txPr>
    </c:legend>
    <c:plotVisOnly val="1"/>
  </c:chart>
  <c:spPr>
    <a:xfrm>
      <a:off x="0" y="0"/>
      <a:ext cx="0" cy="0"/>
    </a:xfrm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endParaRPr/>
    </a:p>
  </c:txPr>
</c:chartSpace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Mode="Internal" Target="../charts/chart1.xml"/><Relationship Id="rId2" Type="http://schemas.openxmlformats.org/officeDocument/2006/relationships/chart" TargetMode="Internal" Target="../charts/chart2.xml"/></Relationships>
</file>

<file path=xl/drawings/_rels/drawing13.xml.rels><?xml version="1.0" encoding="UTF-8" standalone="yes"?><Relationships xmlns="http://schemas.openxmlformats.org/package/2006/relationships"><Relationship Id="rId4" Type="http://schemas.openxmlformats.org/officeDocument/2006/relationships/chart" TargetMode="Internal" Target="../charts/chart6.xml"/><Relationship Id="rId2" Type="http://schemas.openxmlformats.org/officeDocument/2006/relationships/chart" TargetMode="Internal" Target="../charts/chart4.xml"/><Relationship Id="rId3" Type="http://schemas.openxmlformats.org/officeDocument/2006/relationships/chart" TargetMode="Internal" Target="../charts/chart5.xml"/><Relationship Id="rId1" Type="http://schemas.openxmlformats.org/officeDocument/2006/relationships/chart" TargetMode="Internal" Target="../charts/chart3.xml"/></Relationships>
</file>

<file path=xl/drawings/drawing12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8</xdr:col>
      <xdr:colOff>342900</xdr:colOff>
      <xdr:row>40</xdr:row>
      <xdr:rowOff>127000</xdr:rowOff>
    </xdr:from>
    <xdr:to>
      <xdr:col>16</xdr:col>
      <xdr:colOff>63500</xdr:colOff>
      <xdr:row>65</xdr:row>
      <xdr:rowOff>228600</xdr:rowOff>
    </xdr:to>
    <xdr:graphicFrame>
      <xdr:nvGraphicFramePr>
        <xdr:cNvPr id="1" name="图表 0"/>
        <xdr:cNvGraphicFramePr/>
      </xdr:nvGraphicFramePr>
      <xdr:xfrm>
        <a:off x="342900" y="1270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xdr:editAs="twoCell">
    <xdr:from>
      <xdr:col>8</xdr:col>
      <xdr:colOff>279400</xdr:colOff>
      <xdr:row>41</xdr:row>
      <xdr:rowOff>38100</xdr:rowOff>
    </xdr:from>
    <xdr:to>
      <xdr:col>14</xdr:col>
      <xdr:colOff>317500</xdr:colOff>
      <xdr:row>60</xdr:row>
      <xdr:rowOff>0</xdr:rowOff>
    </xdr:to>
    <xdr:graphicFrame>
      <xdr:nvGraphicFramePr>
        <xdr:cNvPr id="2" name="图表 1"/>
        <xdr:cNvGraphicFramePr/>
      </xdr:nvGraphicFramePr>
      <xdr:xfrm>
        <a:off x="279400" y="381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a="http://schemas.openxmlformats.org/drawingml/2006/main" xmlns:c="http://schemas.openxmlformats.org/drawingml/2006/chart" xmlns:r="http://schemas.openxmlformats.org/officeDocument/2006/relationships" xmlns:xdr="http://schemas.openxmlformats.org/drawingml/2006/spreadsheetDrawing">
  <xdr:twoCellAnchor xdr:editAs="twoCell">
    <xdr:from>
      <xdr:col>3</xdr:col>
      <xdr:colOff>431800</xdr:colOff>
      <xdr:row>75</xdr:row>
      <xdr:rowOff>266700</xdr:rowOff>
    </xdr:from>
    <xdr:to>
      <xdr:col>9</xdr:col>
      <xdr:colOff>76200</xdr:colOff>
      <xdr:row>93</xdr:row>
      <xdr:rowOff>241300</xdr:rowOff>
    </xdr:to>
    <xdr:graphicFrame>
      <xdr:nvGraphicFramePr>
        <xdr:cNvPr id="3" name="图表 2"/>
        <xdr:cNvGraphicFramePr/>
      </xdr:nvGraphicFramePr>
      <xdr:xfrm>
        <a:off x="431800" y="2667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xdr:editAs="twoCell">
    <xdr:from>
      <xdr:col>2</xdr:col>
      <xdr:colOff>6350</xdr:colOff>
      <xdr:row>0</xdr:row>
      <xdr:rowOff>279400</xdr:rowOff>
    </xdr:from>
    <xdr:to>
      <xdr:col>7</xdr:col>
      <xdr:colOff>514350</xdr:colOff>
      <xdr:row>18</xdr:row>
      <xdr:rowOff>254000</xdr:rowOff>
    </xdr:to>
    <xdr:graphicFrame>
      <xdr:nvGraphicFramePr>
        <xdr:cNvPr id="4" name="图表 3"/>
        <xdr:cNvGraphicFramePr/>
      </xdr:nvGraphicFramePr>
      <xdr:xfrm>
        <a:off x="6350" y="2794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xdr:editAs="twoCell">
    <xdr:from>
      <xdr:col>10</xdr:col>
      <xdr:colOff>254000</xdr:colOff>
      <xdr:row>2</xdr:row>
      <xdr:rowOff>114300</xdr:rowOff>
    </xdr:from>
    <xdr:to>
      <xdr:col>15</xdr:col>
      <xdr:colOff>1168400</xdr:colOff>
      <xdr:row>20</xdr:row>
      <xdr:rowOff>88900</xdr:rowOff>
    </xdr:to>
    <xdr:graphicFrame>
      <xdr:nvGraphicFramePr>
        <xdr:cNvPr id="5" name="图表 4"/>
        <xdr:cNvGraphicFramePr/>
      </xdr:nvGraphicFramePr>
      <xdr:xfrm>
        <a:off x="254000" y="1143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xdr:editAs="twoCell">
    <xdr:from>
      <xdr:col>0</xdr:col>
      <xdr:colOff>1104900</xdr:colOff>
      <xdr:row>6</xdr:row>
      <xdr:rowOff>50800</xdr:rowOff>
    </xdr:from>
    <xdr:to>
      <xdr:col>6</xdr:col>
      <xdr:colOff>622300</xdr:colOff>
      <xdr:row>24</xdr:row>
      <xdr:rowOff>25400</xdr:rowOff>
    </xdr:to>
    <xdr:graphicFrame>
      <xdr:nvGraphicFramePr>
        <xdr:cNvPr id="6" name="图表 5"/>
        <xdr:cNvGraphicFramePr/>
      </xdr:nvGraphicFramePr>
      <xdr:xfrm>
        <a:off x="1104900" y="5080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Mode="Internal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8.68" customWidth="1"/>
    <col min="2" max="8" width="16.59" customWidth="1"/>
    <col min="9" max="9" width="16.94" customWidth="1"/>
    <col min="10" max="12" width="16.59" customWidth="1"/>
    <col min="13" max="13" width="31.78" customWidth="1"/>
    <col min="14" max="21" width="16.59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3"/>
    </row>
    <row r="2">
      <c r="A2" s="4"/>
      <c r="B2" s="4"/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11</v>
      </c>
      <c r="B3" s="7" t="s">
        <v>12</v>
      </c>
      <c r="C3" s="8" t="n">
        <f>SUM(C350,C353,C356,C364,C368,C374,C378,C384,C388,C394,C398,C402,C406)</f>
        <v>468183</v>
      </c>
      <c r="D3" s="8" t="n">
        <f>SUM(D350,D353,D356,D364,D368,D374,D378,D384,D388,D394,D398,D402,D406)</f>
        <v>962000</v>
      </c>
      <c r="E3" s="8" t="n">
        <f>SUM(E350,E353,E356,E364,E368,E374,E378,E384,E388,E394,E398,E402,E406)</f>
        <v>2852000</v>
      </c>
      <c r="F3" s="8" t="n">
        <f>SUM(F350,F353,F356,F364,F368,F374,F378,F384,F388,F394,F398,F402,F406)</f>
        <v>6949000</v>
      </c>
      <c r="G3" s="8" t="n">
        <f>SUM(G350,G353,G356,G364,G368,G374,G378,G384,G388,G394,G398,G402,G406)</f>
        <v>3231000</v>
      </c>
      <c r="H3" s="8" t="n">
        <f>SUM(H350,H353,H356,H364,H368,H374,H378,H384,H388,H394,H398,H402,H406)</f>
        <v>3022983</v>
      </c>
      <c r="I3" s="9" t="n">
        <f>SUM(I350,I353,I356,I364,I368,I374,I378,I384,I388,I394,I398,I402,I406)</f>
        <v>1578443</v>
      </c>
      <c r="J3" s="8" t="n">
        <f>SUM(J350,J353,J356,J364,J368,J374,J378,J384,J388,J394,J398,J402,J406)</f>
        <v>2249208</v>
      </c>
      <c r="K3" s="8" t="n">
        <f>SUM(K350,K353,K356,K364,K368,K374,K378,K384,K388,K394,K398,K402,K406)</f>
        <v>3612339</v>
      </c>
      <c r="L3" s="8" t="n">
        <f>SUM(L350,L353,L356,L364,L368,L374,L378,L384,L388,L394,L398,L402,L406)</f>
        <v>292049</v>
      </c>
      <c r="M3" s="5"/>
      <c r="N3" s="5"/>
      <c r="O3" s="5"/>
      <c r="P3" s="5"/>
      <c r="Q3" s="5"/>
      <c r="R3" s="5"/>
      <c r="S3" s="5"/>
      <c r="T3" s="5"/>
      <c r="U3" s="5"/>
    </row>
    <row r="4">
      <c r="A4" s="10"/>
      <c r="B4" s="7" t="s">
        <v>13</v>
      </c>
      <c r="C4" s="8"/>
      <c r="D4" s="8"/>
      <c r="E4" s="8"/>
      <c r="F4" s="8"/>
      <c r="G4" s="8"/>
      <c r="H4" s="8"/>
      <c r="I4" s="9"/>
      <c r="J4" s="8"/>
      <c r="K4" s="8"/>
      <c r="L4" s="8"/>
      <c r="M4" s="5"/>
      <c r="N4" s="5"/>
      <c r="O4" s="5"/>
      <c r="P4" s="5"/>
      <c r="Q4" s="5"/>
      <c r="R4" s="5"/>
      <c r="S4" s="5"/>
      <c r="T4" s="5"/>
      <c r="U4" s="5"/>
    </row>
    <row r="5">
      <c r="A5" s="10"/>
      <c r="B5" s="7" t="s">
        <v>14</v>
      </c>
      <c r="C5" s="8" t="n">
        <f>C352-C408</f>
        <v>-1000</v>
      </c>
      <c r="D5" s="8" t="n">
        <f>D352-D408</f>
        <v>823</v>
      </c>
      <c r="E5" s="8" t="n">
        <f>E352-E408</f>
        <v>7481</v>
      </c>
      <c r="F5" s="8" t="n">
        <f>F352-F408</f>
        <v>8000</v>
      </c>
      <c r="G5" s="8" t="n">
        <f>G352-G408</f>
        <v>4000</v>
      </c>
      <c r="H5" s="8" t="n">
        <f>H352-H408</f>
        <v>10285</v>
      </c>
      <c r="I5" s="9" t="n">
        <f>I352-I408</f>
        <v>7857</v>
      </c>
      <c r="J5" s="8" t="n">
        <f>J352-J408</f>
        <v>2806</v>
      </c>
      <c r="K5" s="8" t="n">
        <f>K352-K408</f>
        <v>2559</v>
      </c>
      <c r="L5" s="8" t="n">
        <f>L352-L408</f>
        <v>537</v>
      </c>
      <c r="M5" s="5"/>
      <c r="N5" s="5"/>
      <c r="O5" s="5"/>
      <c r="P5" s="5"/>
      <c r="Q5" s="5"/>
      <c r="R5" s="5"/>
      <c r="S5" s="5"/>
      <c r="T5" s="5"/>
      <c r="U5" s="5"/>
    </row>
    <row r="6">
      <c r="A6" s="6" t="s">
        <v>15</v>
      </c>
      <c r="B6" s="7" t="s">
        <v>16</v>
      </c>
      <c r="C6" s="9" t="n">
        <f>SUM(C5,C410,C415,C419,C423,C427,C431,C435,C439,C443,C451,C456,C461)</f>
        <v>563178</v>
      </c>
      <c r="D6" s="9" t="n">
        <f>SUM(D5,D410,D415,D419,D423,D427,D431,D435,D439,D443,D451,D456,D461)</f>
        <v>955823</v>
      </c>
      <c r="E6" s="9" t="n">
        <f>SUM(E5,E410,E415,E419,E423,E427,E431,E435,E439,E443,E451,E456,E461)</f>
        <v>1666481</v>
      </c>
      <c r="F6" s="9" t="n">
        <f>SUM(F5,F410,F415,F419,F423,F427,F431,F435,F439,F443,F451,F456,F461)</f>
        <v>7332000</v>
      </c>
      <c r="G6" s="8" t="n">
        <f>SUM(G5,G410,G415,G419,G423,G427,G431,G435,G439,G443,G451,G456,G461)</f>
        <v>3218000</v>
      </c>
      <c r="H6" s="9" t="n">
        <f>SUM(H5,H410,H415,H419,H423,H427,H431,H435,H439,H443,H451,H456,H461)</f>
        <v>3470198</v>
      </c>
      <c r="I6" s="9" t="n">
        <f>SUM(I5,I410,I415,I419,I423,I427,I431,I435,I439,I443,I451,I456,I461)</f>
        <v>1972405</v>
      </c>
      <c r="J6" s="9" t="n">
        <f>SUM(J5,J410,J415,J419,J423,J427,J431,J435,J439,J443,J451,J456,J461)</f>
        <v>1109050</v>
      </c>
      <c r="K6" s="9" t="n">
        <f>SUM(K5,K410,K415,K419,K423,K427,K431,K435,K439,K443,K451,K456,K461)</f>
        <v>2055990</v>
      </c>
      <c r="L6" s="9" t="n">
        <f>SUM(L5,L410,L415,L419,L423,L427,L431,L435,L439,L443,L451,L456,L461)</f>
        <v>178321</v>
      </c>
      <c r="M6" s="5"/>
      <c r="N6" s="5"/>
      <c r="O6" s="5"/>
      <c r="P6" s="5"/>
      <c r="Q6" s="5"/>
      <c r="R6" s="5"/>
      <c r="S6" s="5"/>
      <c r="T6" s="5"/>
      <c r="U6" s="5"/>
    </row>
    <row r="7">
      <c r="A7" s="10"/>
      <c r="B7" s="7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  <c r="M7" s="5"/>
      <c r="N7" s="5"/>
      <c r="O7" s="5"/>
      <c r="P7" s="5"/>
      <c r="Q7" s="5"/>
      <c r="R7" s="5"/>
      <c r="S7" s="5"/>
      <c r="T7" s="5"/>
      <c r="U7" s="5"/>
    </row>
    <row r="8">
      <c r="A8" s="10"/>
      <c r="B8" s="7" t="s">
        <v>18</v>
      </c>
      <c r="C8" s="9" t="n">
        <f>C412-C468</f>
        <v>-2149</v>
      </c>
      <c r="D8" s="9" t="n">
        <f>D412-D468</f>
        <v>12364</v>
      </c>
      <c r="E8" s="9" t="n">
        <f>E412-E468</f>
        <v>8321</v>
      </c>
      <c r="F8" s="9" t="n">
        <f>F412-F468</f>
        <v>17000</v>
      </c>
      <c r="G8" s="9" t="n">
        <f>G412-G468</f>
        <v>13000</v>
      </c>
      <c r="H8" s="9" t="n">
        <f>H412-H468</f>
        <v>33000</v>
      </c>
      <c r="I8" s="9" t="n">
        <f>I412-I468</f>
        <v>14569</v>
      </c>
      <c r="J8" s="9" t="n">
        <f>J412-J468</f>
        <v>11876</v>
      </c>
      <c r="K8" s="9" t="n">
        <f>K412-K468</f>
        <v>8703</v>
      </c>
      <c r="L8" s="9" t="n">
        <f>L412-L468</f>
        <v>755</v>
      </c>
      <c r="M8" s="5"/>
      <c r="N8" s="5"/>
      <c r="O8" s="5"/>
      <c r="P8" s="5"/>
      <c r="Q8" s="5"/>
      <c r="R8" s="5"/>
      <c r="S8" s="5"/>
      <c r="T8" s="5"/>
      <c r="U8" s="5"/>
    </row>
    <row r="9">
      <c r="A9" s="6" t="s">
        <v>19</v>
      </c>
      <c r="B9" s="7" t="s">
        <v>20</v>
      </c>
      <c r="C9" s="9" t="n">
        <f>SUM(C466,C471,C476,C481,C486,C490,C495,C500,C505,C509,C513,C517,C521)</f>
        <v>500834</v>
      </c>
      <c r="D9" s="9" t="n">
        <f>SUM(D466,D471,D476,D481,D486,D490,D495,D500,D505,D509,D513,D517,D521)</f>
        <v>1760000</v>
      </c>
      <c r="E9" s="9" t="n">
        <f>SUM(E466,E471,E476,E481,E486,E490,E495,E500,E505,E509,E513,E517,E521)</f>
        <v>2246000</v>
      </c>
      <c r="F9" s="9" t="n">
        <f>SUM(F466,F471,F476,F481,F486,F490,F495,F500,F505,F509,F513,F517,F521)</f>
        <v>17864000</v>
      </c>
      <c r="G9" s="9" t="n">
        <f>SUM(G466,G471,G476,G481,G486,G490,G495,G500,G505,G509,G513,G517,G521)</f>
        <v>4607000</v>
      </c>
      <c r="H9" s="9" t="n">
        <f>SUM(H466,H471,H476,H481,H486,H490,H495,H500,H505,H509,H513,H517,H521)</f>
        <v>3106036</v>
      </c>
      <c r="I9" s="9" t="n">
        <f>SUM(I466,I471,I476,I481,I486,I490,I495,I500,I505,I509,I513,I517,I521)</f>
        <v>2424911</v>
      </c>
      <c r="J9" s="9" t="n">
        <f>SUM(J466,J471,J476,J481,J486,J490,J495,J500,J505,J509,J513,J517,J521)</f>
        <v>2334875</v>
      </c>
      <c r="K9" s="9" t="n">
        <f>SUM(K466,K471,K476,K481,K486,K490,K495,K500,K505,K509,K513,K517,K521)</f>
        <v>2233995</v>
      </c>
      <c r="L9" s="9" t="n">
        <f>SUM(L466,L471,L476,L481,L486,L490,L495,L500,L505,L509,L513,L517,L521)</f>
        <v>188490</v>
      </c>
      <c r="M9" s="5"/>
      <c r="N9" s="5"/>
      <c r="O9" s="5"/>
      <c r="P9" s="5"/>
      <c r="Q9" s="5"/>
      <c r="R9" s="5"/>
      <c r="S9" s="5"/>
      <c r="T9" s="5"/>
      <c r="U9" s="5"/>
    </row>
    <row r="10">
      <c r="A10" s="10"/>
      <c r="B10" s="7" t="s">
        <v>21</v>
      </c>
      <c r="C10" s="8"/>
      <c r="D10" s="8"/>
      <c r="E10" s="8"/>
      <c r="F10" s="8"/>
      <c r="G10" s="8"/>
      <c r="H10" s="8"/>
      <c r="I10" s="9"/>
      <c r="J10" s="8"/>
      <c r="K10" s="8"/>
      <c r="L10" s="8"/>
      <c r="M10" s="5"/>
      <c r="N10" s="5"/>
      <c r="O10" s="5"/>
      <c r="P10" s="5"/>
      <c r="Q10" s="5"/>
      <c r="R10" s="5"/>
      <c r="S10" s="5"/>
      <c r="T10" s="5"/>
      <c r="U10" s="5"/>
    </row>
    <row r="11">
      <c r="A11" s="10"/>
      <c r="B11" s="7" t="s">
        <v>22</v>
      </c>
      <c r="C11" s="9" t="n">
        <f>C468-C527</f>
        <v>-1805</v>
      </c>
      <c r="D11" s="9" t="n">
        <f>D468-D527</f>
        <v>2826</v>
      </c>
      <c r="E11" s="9" t="n">
        <f>E468-E527</f>
        <v>2424</v>
      </c>
      <c r="F11" s="9" t="n">
        <f>F468-F527</f>
        <v>66000</v>
      </c>
      <c r="G11" s="9" t="n">
        <f>G468-G527</f>
        <v>26000</v>
      </c>
      <c r="H11" s="9" t="n">
        <f>H468-H527</f>
        <v>42000</v>
      </c>
      <c r="I11" s="9" t="n">
        <f>I468-I527</f>
        <v>19817</v>
      </c>
      <c r="J11" s="9" t="n">
        <f>J468-J527</f>
        <v>12762</v>
      </c>
      <c r="K11" s="9" t="n">
        <f>K468-K527</f>
        <v>3511</v>
      </c>
      <c r="L11" s="9" t="n">
        <f>L468-L527</f>
        <v>391</v>
      </c>
      <c r="M11" s="5"/>
      <c r="N11" s="5"/>
      <c r="O11" s="5"/>
      <c r="P11" s="5"/>
      <c r="Q11" s="5"/>
      <c r="R11" s="5"/>
      <c r="S11" s="5"/>
      <c r="T11" s="5"/>
      <c r="U11" s="5"/>
    </row>
    <row r="12">
      <c r="A12" s="6" t="s">
        <v>23</v>
      </c>
      <c r="B12" s="7" t="s">
        <v>24</v>
      </c>
      <c r="C12" s="9" t="n">
        <f>SUM(C496,C492,C488,C500,C504,C508,C512,C516,C520,C524,C528,C532,C536,C540)</f>
        <v>3353448</v>
      </c>
      <c r="D12" s="9" t="n">
        <f>SUM(D496,D492,D488,D500,D504,D508,D512,D516,D520,D524,D528,D532,D536,D540)</f>
        <v>198670</v>
      </c>
      <c r="E12" s="9" t="n">
        <f>SUM(E496,E492,E488,E500,E504,E508,E512,E516,E520,E524,E528,E532,E536,E540)</f>
        <v>282130</v>
      </c>
      <c r="F12" s="9" t="n">
        <f>SUM(F496,F492,F488,F500,F504,F508,F512,F516,F520,F524,F528,F532,F536,F540)</f>
        <v>725000</v>
      </c>
      <c r="G12" s="9" t="n">
        <f>SUM(G496,G492,G488,G500,G504,G508,G512,G516,G520,G524,G528,G532,G536,G540)</f>
        <v>778953</v>
      </c>
      <c r="H12" s="9" t="n">
        <f>SUM(H496,H492,H488,H500,H504,H508,H512,H516,H520,H524,H528,H532,H536,H540)</f>
        <v>465528</v>
      </c>
      <c r="I12" s="9" t="n">
        <f>SUM(I496,I492,I488,I500,I504,I508,I512,I516,I520,I524,I528,I532,I536,I540)</f>
        <v>2330211</v>
      </c>
      <c r="J12" s="9" t="n">
        <f>SUM(J496,J492,J488,J500,J504,J508,J512,J516,J520,J524,J528,J532,J536,J540)</f>
        <v>590143</v>
      </c>
      <c r="K12" s="9" t="n">
        <f>SUM(K496,K492,K488,K500,K504,K508,K512,K516,K520,K524,K528,K532,K536,K540)</f>
        <v>1133465</v>
      </c>
      <c r="L12" s="9" t="n">
        <f>SUM(L496,L492,L488,L500,L504,L508,L512,L516,L520,L524,L528,L532,L536,L540)</f>
        <v>177390</v>
      </c>
      <c r="M12" s="5"/>
      <c r="N12" s="5"/>
      <c r="O12" s="5"/>
      <c r="P12" s="5"/>
      <c r="Q12" s="5"/>
      <c r="R12" s="5"/>
      <c r="S12" s="5"/>
      <c r="T12" s="5"/>
      <c r="U12" s="5"/>
    </row>
    <row r="13">
      <c r="A13" s="10"/>
      <c r="B13" s="7" t="s">
        <v>25</v>
      </c>
      <c r="C13" s="9" t="n">
        <f>SUM(C489,C493,C497,C501,C505,C509,C513,C517,C521,C525,C529,C533,C537,C541)</f>
        <v>2079550</v>
      </c>
      <c r="D13" s="9" t="n">
        <f>SUM(D489,D493,D497,D501,D505,D509,D513,D517,D521,D525,D529,D533,D537,D541)</f>
        <v>1224168</v>
      </c>
      <c r="E13" s="9" t="n">
        <f>SUM(E489,E493,E497,E501,E505,E509,E513,E517,E521,E525,E529,E533,E537,E541)</f>
        <v>1785602</v>
      </c>
      <c r="F13" s="9" t="n">
        <f>SUM(F489,F493,F497,F501,F505,F509,F513,F517,F521,F525,F529,F533,F537,F541)</f>
        <v>4431000</v>
      </c>
      <c r="G13" s="9" t="n">
        <f>SUM(G489,G493,G497,G501,G505,G509,G513,G517,G521,G525,G529,G533,G537,G541)</f>
        <v>2945000</v>
      </c>
      <c r="H13" s="9" t="n">
        <f>SUM(H489,H493,H497,H501,H505,H509,H513,H517,H521,H525,H529,H533,H537,H541)</f>
        <v>3833237</v>
      </c>
      <c r="I13" s="9" t="n">
        <f>SUM(I489,I493,I497,I501,I505,I509,I513,I517,I521,I525,I529,I533,I537,I541)</f>
        <v>2201480</v>
      </c>
      <c r="J13" s="9" t="n">
        <f>SUM(J489,J493,J497,J501,J505,J509,J513,J517,J521,J525,J529,J533,J537,J541)</f>
        <v>4752724</v>
      </c>
      <c r="K13" s="9" t="n">
        <f>SUM(K489,K493,K497,K501,K505,K509,K513,K517,K521,K525,K529,K533,K537,K541)</f>
        <v>2866925</v>
      </c>
      <c r="L13" s="9" t="n">
        <f>SUM(L489,L493,L497,L501,L505,L509,L513,L517,L521,L525,L529,L533,L537,L541)</f>
        <v>462535</v>
      </c>
      <c r="M13" s="5"/>
      <c r="N13" s="5"/>
      <c r="O13" s="5"/>
      <c r="P13" s="5"/>
      <c r="Q13" s="5"/>
      <c r="R13" s="5"/>
      <c r="S13" s="5"/>
      <c r="T13" s="5"/>
      <c r="U13" s="5"/>
    </row>
    <row r="14">
      <c r="A14" s="10"/>
      <c r="B14" s="11" t="s">
        <v>26</v>
      </c>
      <c r="C14" s="9" t="n">
        <f>C490-C542</f>
        <v>23336</v>
      </c>
      <c r="D14" s="9" t="n">
        <f>D490-D542</f>
        <v>27640</v>
      </c>
      <c r="E14" s="9" t="n">
        <f>E490-E542</f>
        <v>290726</v>
      </c>
      <c r="F14" s="9" t="n">
        <f>F490-F542</f>
        <v>2834650</v>
      </c>
      <c r="G14" s="9" t="n">
        <f>G490-G542</f>
        <v>460637</v>
      </c>
      <c r="H14" s="9" t="n">
        <f>H490-H542</f>
        <v>158690</v>
      </c>
      <c r="I14" s="9" t="n">
        <f>I490-I542</f>
        <v>106198</v>
      </c>
      <c r="J14" s="9" t="n">
        <f>J490-J542</f>
        <v>117397</v>
      </c>
      <c r="K14" s="8" t="n">
        <f>K490-K542</f>
        <v>64435</v>
      </c>
      <c r="L14" s="9" t="n">
        <f>L490-L542</f>
        <v>13991</v>
      </c>
      <c r="M14" s="5"/>
      <c r="N14" s="5"/>
      <c r="O14" s="5"/>
      <c r="P14" s="5"/>
      <c r="Q14" s="5"/>
      <c r="R14" s="5"/>
      <c r="S14" s="5"/>
      <c r="T14" s="5"/>
      <c r="U14" s="5"/>
    </row>
    <row r="15">
      <c r="A15" s="6" t="s">
        <v>27</v>
      </c>
      <c r="B15" s="7" t="s">
        <v>28</v>
      </c>
      <c r="C15" s="9" t="n">
        <f>SUM(C444,C448,C452,C456,C460,C464,C468,C480,C484,C488)</f>
        <v>3276876</v>
      </c>
      <c r="D15" s="9" t="n">
        <f>SUM(D444,D448,D452,D456,D460,D464,D468,D480,D484,D488)</f>
        <v>124121</v>
      </c>
      <c r="E15" s="9" t="n">
        <f>SUM(E444,E448,E452,E456,E460,E464,E468,E480,E484,E488)</f>
        <v>241637</v>
      </c>
      <c r="F15" s="9" t="n">
        <f>SUM(F444,F448,F452,F456,F460,F464,F468,F480,F484,F488)</f>
        <v>1740004</v>
      </c>
      <c r="G15" s="9" t="n">
        <f>SUM(G444,G448,G452,G456,G460,G464,G468,G480,G484,G488)</f>
        <v>583177</v>
      </c>
      <c r="H15" s="9" t="n">
        <f>SUM(H444,H448,H452,H456,H460,H464,H468,H480,H484,H488)</f>
        <v>424514</v>
      </c>
      <c r="I15" s="9" t="n">
        <f>SUM(I444,I448,I452,I456,I460,I464,I468,I480,I484,I488)</f>
        <v>2008475</v>
      </c>
      <c r="J15" s="9" t="n">
        <f>SUM(J444,J448,J452,J456,J460,J464,J468,J480,J484,J488)</f>
        <v>323227</v>
      </c>
      <c r="K15" s="9" t="n">
        <f>SUM(K444,K448,K452,K456,K460,K464,K468,K480,K484,K488)</f>
        <v>891421</v>
      </c>
      <c r="L15" s="9" t="n">
        <f>SUM(L444,L448,L452,L456,L460,L464,L468,L480,L484,L488)</f>
        <v>179632</v>
      </c>
      <c r="M15" s="5"/>
      <c r="N15" s="5"/>
      <c r="O15" s="5"/>
      <c r="P15" s="5"/>
      <c r="Q15" s="5"/>
      <c r="R15" s="5"/>
      <c r="S15" s="5"/>
      <c r="T15" s="5"/>
      <c r="U15" s="5"/>
    </row>
    <row r="16">
      <c r="A16" s="10"/>
      <c r="B16" s="7" t="s">
        <v>29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5"/>
      <c r="N16" s="5"/>
      <c r="O16" s="5"/>
      <c r="P16" s="5"/>
      <c r="Q16" s="5"/>
      <c r="R16" s="5"/>
      <c r="S16" s="5"/>
      <c r="T16" s="5"/>
      <c r="U16" s="5"/>
    </row>
    <row r="17">
      <c r="A17" s="10"/>
      <c r="B17" s="11" t="s">
        <v>30</v>
      </c>
      <c r="C17" s="8" t="s">
        <f>C446-C494</f>
        <v>31</v>
      </c>
      <c r="D17" s="8" t="s">
        <f>D446-D494</f>
        <v>32</v>
      </c>
      <c r="E17" s="8" t="s">
        <f>E446-E494</f>
        <v>33</v>
      </c>
      <c r="F17" s="8" t="s">
        <f>F446-F494</f>
        <v>34</v>
      </c>
      <c r="G17" s="8" t="s">
        <f>G446-G494</f>
        <v>35</v>
      </c>
      <c r="H17" s="8" t="s">
        <f>H446-H494</f>
        <v>36</v>
      </c>
      <c r="I17" s="8" t="s">
        <f>I446-I494</f>
        <v>37</v>
      </c>
      <c r="J17" s="8" t="s">
        <f>J446-J494</f>
        <v>38</v>
      </c>
      <c r="K17" s="8" t="s">
        <f>K446-K494</f>
        <v>39</v>
      </c>
      <c r="L17" s="8" t="s">
        <f>L446-L494</f>
        <v>40</v>
      </c>
      <c r="M17" s="5"/>
      <c r="N17" s="5"/>
      <c r="O17" s="5"/>
      <c r="P17" s="5"/>
      <c r="Q17" s="5"/>
      <c r="R17" s="5"/>
      <c r="S17" s="5"/>
      <c r="T17" s="5"/>
      <c r="U17" s="5"/>
    </row>
    <row r="18">
      <c r="A18" s="6" t="s">
        <v>41</v>
      </c>
      <c r="B18" s="7" t="s">
        <v>42</v>
      </c>
      <c r="C18" s="8" t="n">
        <f>SUM(C400,C404,C408,C412,C416,C420,C424,C428,C432,C436)</f>
        <v>6488995</v>
      </c>
      <c r="D18" s="8" t="n">
        <f>SUM(D400,D404,D408,D412,D416,D420,D424,D428,D432,D436)</f>
        <v>106988</v>
      </c>
      <c r="E18" s="8" t="n">
        <f>SUM(E400,E404,E408,E412,E416,E420,E424,E428,E432,E436)</f>
        <v>185034</v>
      </c>
      <c r="F18" s="8" t="n">
        <f>SUM(F400,F404,F408,F412,F416,F420,F424,F428,F432,F436)</f>
        <v>875642</v>
      </c>
      <c r="G18" s="8" t="n">
        <f>SUM(G400,G404,G408,G412,G416,G420,G424,G428,G432,G436)</f>
        <v>500580</v>
      </c>
      <c r="H18" s="8" t="n">
        <f>SUM(H400,H404,H408,H412,H416,H420,H424,H428,H432,H436)</f>
        <v>508962</v>
      </c>
      <c r="I18" s="9" t="n">
        <f>SUM(I400,I404,I408,I412,I416,I420,I424,I428,I432,I436)</f>
        <v>3749537</v>
      </c>
      <c r="J18" s="9" t="n">
        <f>SUM(J400,J404,J408,J412,J416,J420,J424,J428,J432,J436)</f>
        <v>462023</v>
      </c>
      <c r="K18" s="9" t="n">
        <f>SUM(K400,K404,K408,K412,K416,K420,K424,K428,K432,K436)</f>
        <v>1444320</v>
      </c>
      <c r="L18" s="9" t="n">
        <f>SUM(L400,L404,L408,L412,L416,L420,L424,L428,L432,L436)</f>
        <v>337412</v>
      </c>
      <c r="M18" s="12"/>
      <c r="N18" s="12"/>
      <c r="O18" s="12"/>
      <c r="P18" s="12"/>
      <c r="Q18" s="12"/>
      <c r="R18" s="12"/>
      <c r="S18" s="12"/>
      <c r="T18" s="12"/>
      <c r="U18" s="12"/>
    </row>
    <row r="19">
      <c r="A19" s="10"/>
      <c r="B19" s="7" t="s">
        <v>43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12"/>
      <c r="N19" s="12"/>
      <c r="O19" s="12"/>
      <c r="P19" s="12"/>
      <c r="Q19" s="12"/>
      <c r="R19" s="12"/>
      <c r="S19" s="12"/>
      <c r="T19" s="12"/>
      <c r="U19" s="12"/>
    </row>
    <row r="20">
      <c r="A20" s="10"/>
      <c r="B20" s="11" t="s">
        <v>44</v>
      </c>
      <c r="C20" s="8" t="s">
        <f>C402-C442</f>
        <v>45</v>
      </c>
      <c r="D20" s="8" t="s">
        <f>D402-D442</f>
        <v>46</v>
      </c>
      <c r="E20" s="8" t="s">
        <f>E402-E442</f>
        <v>47</v>
      </c>
      <c r="F20" s="8" t="s">
        <f>F402-F442</f>
        <v>48</v>
      </c>
      <c r="G20" s="8" t="s">
        <f>G402-G442</f>
        <v>49</v>
      </c>
      <c r="H20" s="8" t="s">
        <f>H402-H442</f>
        <v>50</v>
      </c>
      <c r="I20" s="9" t="s">
        <f>I402-I442</f>
        <v>51</v>
      </c>
      <c r="J20" s="8" t="s">
        <f>J402-J442</f>
        <v>52</v>
      </c>
      <c r="K20" s="8" t="s">
        <f>K402-K442</f>
        <v>53</v>
      </c>
      <c r="L20" s="8" t="s">
        <f>L402-L442</f>
        <v>54</v>
      </c>
      <c r="M20" s="12"/>
      <c r="N20" s="12"/>
      <c r="O20" s="12"/>
      <c r="P20" s="12"/>
      <c r="Q20" s="12"/>
      <c r="R20" s="12"/>
      <c r="S20" s="12"/>
      <c r="T20" s="12"/>
      <c r="U20" s="12"/>
    </row>
    <row r="21">
      <c r="A21" s="6" t="s">
        <v>55</v>
      </c>
      <c r="B21" s="7" t="s">
        <v>56</v>
      </c>
      <c r="C21" s="13" t="n">
        <f>SUM(C156,C159,C162,C165,C168,C171,C174,C177,C180,C183,C186,C189,C192)</f>
        <v>32258</v>
      </c>
      <c r="D21" s="14" t="n">
        <f>SUM(D156,D159,D162,D165,D168,D171,D174,D177,D180,D183,D186,D189,D192)</f>
        <v>1247712</v>
      </c>
      <c r="E21" s="14" t="n">
        <f>SUM(E156,E159,E162,E165,E168,E171,E174,E177,E180,E183,E186,E189,E192)</f>
        <v>2636628.1</v>
      </c>
      <c r="F21" s="14" t="n">
        <f>SUM(F156,F159,F162,F165,F168,F171,F174,F177,F180,F183,F186,F189,F192)</f>
        <v>4744900</v>
      </c>
      <c r="G21" s="13" t="n">
        <f>SUM(G156,G159,G162,G165,G168,G171,G174,G177,G180,G183,G186,G189,G192)</f>
        <v>2481008</v>
      </c>
      <c r="H21" s="13" t="n">
        <f>SUM(H156,H159,H162,H165,H168,H171,H174,H177,H180,H183,H186,H189,H192)</f>
        <v>1191670</v>
      </c>
      <c r="I21" s="13" t="n">
        <f>SUM(I156,I159,I162,I165,I168,I171,I174,I177,I180,I183,I186,I189,I192)</f>
        <v>830657</v>
      </c>
      <c r="J21" s="14" t="n">
        <f>SUM(J156,J159,J162,J165,J168,J171,J174,J177,J180,J183,J186,J189,J192)</f>
        <v>527010</v>
      </c>
      <c r="K21" s="14" t="n">
        <f>SUM(K156,K159,K162,K165,K168,K171,K174,K177,K180,K183,K186,K189,K192)</f>
        <v>1579950</v>
      </c>
      <c r="L21" s="13" t="n">
        <f>SUM(L156,L159,L162,L165,L168,L171,L174,L177,L180,L183,L186,L189,L192)</f>
        <v>77444</v>
      </c>
      <c r="M21" s="12"/>
      <c r="N21" s="12"/>
      <c r="O21" s="12"/>
      <c r="P21" s="12"/>
      <c r="Q21" s="12"/>
      <c r="R21" s="12"/>
      <c r="S21" s="12"/>
      <c r="T21" s="12"/>
      <c r="U21" s="12"/>
    </row>
    <row r="22">
      <c r="A22" s="10"/>
      <c r="B22" s="7" t="s">
        <v>57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2"/>
      <c r="N22" s="12"/>
      <c r="O22" s="12"/>
      <c r="P22" s="12"/>
      <c r="Q22" s="12"/>
      <c r="R22" s="12"/>
      <c r="S22" s="12"/>
      <c r="T22" s="12"/>
      <c r="U22" s="12"/>
    </row>
    <row r="23">
      <c r="A23" s="10"/>
      <c r="B23" s="11" t="s">
        <v>58</v>
      </c>
      <c r="C23" s="15" t="n">
        <f>C157-C196</f>
        <v>1618027</v>
      </c>
      <c r="D23" s="14" t="n">
        <f>D157-D196</f>
        <v>7703</v>
      </c>
      <c r="E23" s="14" t="n">
        <f>E157-E196</f>
        <v>10374</v>
      </c>
      <c r="F23" s="14" t="n">
        <f>F157-F196</f>
        <v>5000</v>
      </c>
      <c r="G23" s="14" t="n">
        <f>G157-G196</f>
        <v>160000</v>
      </c>
      <c r="H23" s="13" t="n">
        <f>H157-H196</f>
        <v>14209</v>
      </c>
      <c r="I23" s="13" t="n">
        <f>I157-I196</f>
        <v>7178</v>
      </c>
      <c r="J23" s="14" t="n">
        <f>J157-J196</f>
        <v>142873</v>
      </c>
      <c r="K23" s="14" t="n">
        <f>K157-K196</f>
        <v>2229</v>
      </c>
      <c r="L23" s="13" t="n">
        <f>L157-L196</f>
        <v>1453</v>
      </c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0"/>
      <c r="B24" s="10"/>
      <c r="C24" s="16" t="s">
        <v>59</v>
      </c>
      <c r="D24" s="16" t="s">
        <v>60</v>
      </c>
      <c r="E24" s="10" t="s">
        <v>61</v>
      </c>
      <c r="F24" s="16" t="s">
        <v>62</v>
      </c>
      <c r="G24" s="16" t="s">
        <v>63</v>
      </c>
      <c r="H24" s="16" t="s">
        <v>64</v>
      </c>
      <c r="I24" s="16" t="s">
        <v>65</v>
      </c>
      <c r="J24" s="16" t="s">
        <v>66</v>
      </c>
      <c r="K24" s="16" t="s">
        <v>67</v>
      </c>
      <c r="L24" s="16" t="s">
        <v>68</v>
      </c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6" t="s">
        <v>69</v>
      </c>
      <c r="B25" s="7" t="s">
        <v>70</v>
      </c>
      <c r="C25" s="17"/>
      <c r="D25" s="10" t="n">
        <v>1632921</v>
      </c>
      <c r="E25" s="6" t="n">
        <v>1883376</v>
      </c>
      <c r="F25" s="6" t="n">
        <v>432.08</v>
      </c>
      <c r="G25" s="6" t="n">
        <v>1904411</v>
      </c>
      <c r="H25" s="6" t="n">
        <v>870921</v>
      </c>
      <c r="I25" s="18" t="n">
        <v>563914</v>
      </c>
      <c r="J25" s="6" t="n">
        <v>899699</v>
      </c>
      <c r="K25" s="6" t="n">
        <v>1050984</v>
      </c>
      <c r="L25" s="17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10"/>
      <c r="B26" s="11" t="s">
        <v>71</v>
      </c>
      <c r="C26" s="17"/>
      <c r="D26" s="10" t="n">
        <v>4407</v>
      </c>
      <c r="E26" s="6" t="n">
        <v>4986</v>
      </c>
      <c r="F26" s="16"/>
      <c r="G26" s="6" t="n">
        <v>2200</v>
      </c>
      <c r="H26" s="6" t="n">
        <v>16483</v>
      </c>
      <c r="I26" s="6" t="n">
        <v>14237</v>
      </c>
      <c r="J26" s="6"/>
      <c r="K26" s="6"/>
      <c r="L26" s="17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6" t="s">
        <v>72</v>
      </c>
      <c r="B27" s="7" t="s">
        <v>73</v>
      </c>
      <c r="C27" s="17"/>
      <c r="D27" s="10" t="n">
        <v>457376</v>
      </c>
      <c r="E27" s="6" t="n">
        <v>1103273</v>
      </c>
      <c r="F27" s="6" t="n">
        <v>332.61</v>
      </c>
      <c r="G27" s="17" t="n">
        <v>1320143</v>
      </c>
      <c r="H27" s="6" t="n">
        <v>333595</v>
      </c>
      <c r="I27" s="18" t="n">
        <v>391872</v>
      </c>
      <c r="J27" s="6" t="n">
        <v>540354</v>
      </c>
      <c r="K27" s="6" t="n">
        <v>279931</v>
      </c>
      <c r="L27" s="17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10"/>
      <c r="B28" s="11" t="s">
        <v>74</v>
      </c>
      <c r="C28" s="17"/>
      <c r="D28" s="10" t="n">
        <v>1385</v>
      </c>
      <c r="E28" s="6" t="n">
        <v>2833</v>
      </c>
      <c r="F28" s="16"/>
      <c r="G28" s="17" t="n">
        <v>1000</v>
      </c>
      <c r="H28" s="6" t="n">
        <v>1681</v>
      </c>
      <c r="I28" s="6" t="n">
        <v>6217</v>
      </c>
      <c r="J28" s="6"/>
      <c r="K28" s="6"/>
      <c r="L28" s="17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6" t="s">
        <v>75</v>
      </c>
      <c r="B29" s="7" t="s">
        <v>76</v>
      </c>
      <c r="C29" s="16"/>
      <c r="D29" s="10" t="n">
        <v>899000</v>
      </c>
      <c r="E29" s="6" t="n">
        <v>1714629</v>
      </c>
      <c r="F29" s="6" t="n">
        <v>308.54</v>
      </c>
      <c r="G29" s="17" t="n">
        <v>1560072</v>
      </c>
      <c r="H29" s="6" t="n">
        <v>892310</v>
      </c>
      <c r="I29" s="18" t="n">
        <v>423164</v>
      </c>
      <c r="J29" s="6" t="n">
        <v>482978</v>
      </c>
      <c r="K29" s="6" t="n">
        <v>600861</v>
      </c>
      <c r="L29" s="16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10"/>
      <c r="B30" s="7" t="s">
        <v>77</v>
      </c>
      <c r="C30" s="16"/>
      <c r="D30" s="10" t="n">
        <v>2230</v>
      </c>
      <c r="E30" s="6" t="n">
        <v>3017</v>
      </c>
      <c r="F30" s="17" t="n">
        <v>1100</v>
      </c>
      <c r="G30" s="17" t="n">
        <v>1000</v>
      </c>
      <c r="H30" s="6" t="n">
        <v>4301</v>
      </c>
      <c r="I30" s="6" t="n">
        <v>15228</v>
      </c>
      <c r="J30" s="16"/>
      <c r="K30" s="16"/>
      <c r="L30" s="16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16"/>
      <c r="B31" s="19" t="s">
        <v>78</v>
      </c>
      <c r="C31" s="16"/>
      <c r="D31" s="17" t="n">
        <v>70920</v>
      </c>
      <c r="E31" s="17" t="n">
        <v>114715</v>
      </c>
      <c r="F31" s="17" t="n">
        <v>30.13</v>
      </c>
      <c r="G31" s="17" t="n">
        <v>17.3</v>
      </c>
      <c r="H31" s="20" t="n">
        <v>224620</v>
      </c>
      <c r="I31" s="16"/>
      <c r="J31" s="16"/>
      <c r="K31" s="16"/>
      <c r="L31" s="16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14"/>
      <c r="B32" s="21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16"/>
      <c r="B33" s="22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16"/>
      <c r="B34" s="22"/>
      <c r="C34" s="16" t="s">
        <v>79</v>
      </c>
      <c r="D34" s="16" t="s">
        <v>80</v>
      </c>
      <c r="E34" s="16" t="s">
        <v>81</v>
      </c>
      <c r="F34" s="16" t="s">
        <v>82</v>
      </c>
      <c r="G34" s="16" t="s">
        <v>83</v>
      </c>
      <c r="H34" s="16" t="s">
        <v>84</v>
      </c>
      <c r="I34" s="16" t="s">
        <v>85</v>
      </c>
      <c r="J34" s="16" t="s">
        <v>86</v>
      </c>
      <c r="K34" s="16" t="s">
        <v>87</v>
      </c>
      <c r="L34" s="16" t="s">
        <v>88</v>
      </c>
      <c r="M34" s="12"/>
      <c r="N34" s="12"/>
      <c r="O34" s="12"/>
      <c r="P34" s="12"/>
      <c r="Q34" s="12"/>
      <c r="R34" s="12"/>
      <c r="S34" s="12"/>
      <c r="T34" s="12"/>
      <c r="U34" s="12"/>
    </row>
    <row r="35">
      <c r="A35" s="17" t="s">
        <v>89</v>
      </c>
      <c r="B35" s="22" t="s">
        <v>90</v>
      </c>
      <c r="C35" s="23" t="n">
        <v>666000</v>
      </c>
      <c r="D35" s="23"/>
      <c r="E35" s="23"/>
      <c r="F35" s="23"/>
      <c r="G35" s="23"/>
      <c r="H35" s="23"/>
      <c r="I35" s="24"/>
      <c r="J35" s="23"/>
      <c r="K35" s="23"/>
      <c r="L35" s="23"/>
      <c r="M35" s="12"/>
      <c r="N35" s="12"/>
      <c r="O35" s="12"/>
      <c r="P35" s="12"/>
      <c r="Q35" s="12"/>
      <c r="R35" s="12"/>
      <c r="S35" s="12"/>
      <c r="T35" s="12"/>
      <c r="U35" s="12"/>
    </row>
    <row r="36">
      <c r="A36" s="16"/>
      <c r="B36" s="22" t="s">
        <v>91</v>
      </c>
      <c r="C36" s="23"/>
      <c r="D36" s="23"/>
      <c r="E36" s="23"/>
      <c r="F36" s="23"/>
      <c r="G36" s="23"/>
      <c r="H36" s="24"/>
      <c r="I36" s="24"/>
      <c r="J36" s="23"/>
      <c r="K36" s="23"/>
      <c r="L36" s="23"/>
      <c r="M36" s="12"/>
      <c r="N36" s="12"/>
      <c r="O36" s="12"/>
      <c r="P36" s="12"/>
      <c r="Q36" s="12"/>
      <c r="R36" s="12"/>
      <c r="S36" s="12"/>
      <c r="T36" s="12"/>
      <c r="U36" s="12"/>
    </row>
    <row r="37">
      <c r="A37" s="17" t="s">
        <v>92</v>
      </c>
      <c r="B37" s="22" t="s">
        <v>93</v>
      </c>
      <c r="C37" s="23"/>
      <c r="D37" s="23" t="n">
        <v>27539</v>
      </c>
      <c r="E37" s="23" t="n">
        <v>10</v>
      </c>
      <c r="F37" s="23" t="n">
        <v>11.7</v>
      </c>
      <c r="G37" s="23" t="n">
        <v>37785</v>
      </c>
      <c r="H37" s="23" t="n">
        <v>13000</v>
      </c>
      <c r="I37" s="24" t="n">
        <v>21311</v>
      </c>
      <c r="J37" s="23"/>
      <c r="K37" s="23"/>
      <c r="L37" s="23"/>
      <c r="M37" s="12"/>
      <c r="N37" s="12"/>
      <c r="O37" s="12"/>
      <c r="P37" s="12"/>
      <c r="Q37" s="12"/>
      <c r="R37" s="12"/>
      <c r="S37" s="12"/>
      <c r="T37" s="12"/>
      <c r="U37" s="12"/>
    </row>
    <row r="38">
      <c r="A38" s="16"/>
      <c r="B38" s="22" t="s">
        <v>94</v>
      </c>
      <c r="C38" s="23"/>
      <c r="D38" s="23" t="n">
        <v>74438</v>
      </c>
      <c r="E38" s="23" t="n">
        <v>118326</v>
      </c>
      <c r="F38" s="23" t="n">
        <v>30.29</v>
      </c>
      <c r="G38" s="23" t="n">
        <v>17.3</v>
      </c>
      <c r="H38" s="24" t="n">
        <v>228876</v>
      </c>
      <c r="I38" s="24" t="n">
        <v>103.7</v>
      </c>
      <c r="J38" s="23"/>
      <c r="K38" s="23"/>
      <c r="L38" s="23"/>
      <c r="M38" s="12"/>
      <c r="N38" s="12"/>
      <c r="O38" s="12"/>
      <c r="P38" s="12"/>
      <c r="Q38" s="12"/>
      <c r="R38" s="12"/>
      <c r="S38" s="12"/>
      <c r="T38" s="12"/>
      <c r="U38" s="12"/>
    </row>
    <row r="39">
      <c r="A39" s="16"/>
      <c r="B39" s="22"/>
      <c r="C39" s="16" t="s">
        <v>95</v>
      </c>
      <c r="D39" s="16" t="s">
        <v>96</v>
      </c>
      <c r="E39" s="16" t="s">
        <v>97</v>
      </c>
      <c r="F39" s="16" t="s">
        <v>98</v>
      </c>
      <c r="G39" s="16" t="s">
        <v>99</v>
      </c>
      <c r="H39" s="16" t="s">
        <v>100</v>
      </c>
      <c r="I39" s="16" t="s">
        <v>101</v>
      </c>
      <c r="J39" s="16" t="s">
        <v>102</v>
      </c>
      <c r="K39" s="16" t="s">
        <v>103</v>
      </c>
      <c r="L39" s="16" t="s">
        <v>104</v>
      </c>
      <c r="M39" s="12"/>
      <c r="N39" s="12"/>
      <c r="O39" s="12"/>
      <c r="P39" s="12"/>
      <c r="Q39" s="12"/>
      <c r="R39" s="12"/>
      <c r="S39" s="12"/>
      <c r="T39" s="12"/>
      <c r="U39" s="12"/>
    </row>
    <row r="40">
      <c r="A40" s="17" t="s">
        <v>105</v>
      </c>
      <c r="B40" s="22" t="s">
        <v>106</v>
      </c>
      <c r="C40" s="23" t="n">
        <v>1.8</v>
      </c>
      <c r="D40" s="23" t="n">
        <v>110100</v>
      </c>
      <c r="E40" s="23" t="n">
        <v>18.3</v>
      </c>
      <c r="F40" s="23" t="n">
        <v>20.88</v>
      </c>
      <c r="G40" s="23" t="n">
        <v>59338</v>
      </c>
      <c r="H40" s="23" t="n">
        <v>91000</v>
      </c>
      <c r="I40" s="24" t="n">
        <v>40177</v>
      </c>
      <c r="J40" s="23" t="n">
        <v>74126</v>
      </c>
      <c r="K40" s="23" t="n">
        <v>141717</v>
      </c>
      <c r="L40" s="23"/>
      <c r="M40" s="12"/>
      <c r="N40" s="12"/>
      <c r="O40" s="12"/>
      <c r="P40" s="12"/>
      <c r="Q40" s="12"/>
      <c r="R40" s="12"/>
      <c r="S40" s="12"/>
      <c r="T40" s="12"/>
      <c r="U40" s="12"/>
    </row>
    <row r="41">
      <c r="A41" s="16"/>
      <c r="B41" s="22" t="s">
        <v>107</v>
      </c>
      <c r="C41" s="23" t="n">
        <v>1612736</v>
      </c>
      <c r="D41" s="23" t="n">
        <v>72841</v>
      </c>
      <c r="E41" s="23" t="n">
        <v>116106</v>
      </c>
      <c r="F41" s="23" t="n">
        <v>30.13</v>
      </c>
      <c r="G41" s="23" t="n">
        <v>17.2</v>
      </c>
      <c r="H41" s="24" t="n">
        <v>226329</v>
      </c>
      <c r="I41" s="24" t="n">
        <v>1031488</v>
      </c>
      <c r="J41" s="23"/>
      <c r="K41" s="23" t="n">
        <v>375247</v>
      </c>
      <c r="L41" s="23"/>
      <c r="M41" s="12"/>
      <c r="N41" s="12"/>
      <c r="O41" s="12"/>
      <c r="P41" s="12"/>
      <c r="Q41" s="12"/>
      <c r="R41" s="12"/>
      <c r="S41" s="12"/>
      <c r="T41" s="12"/>
      <c r="U41" s="12"/>
    </row>
    <row r="42">
      <c r="A42" s="16"/>
      <c r="B42" s="22"/>
      <c r="C42" s="16" t="s">
        <v>108</v>
      </c>
      <c r="D42" s="16" t="s">
        <v>109</v>
      </c>
      <c r="E42" s="16" t="s">
        <v>110</v>
      </c>
      <c r="F42" s="16" t="s">
        <v>111</v>
      </c>
      <c r="G42" s="16" t="s">
        <v>112</v>
      </c>
      <c r="H42" s="16" t="s">
        <v>113</v>
      </c>
      <c r="I42" s="16" t="s">
        <v>114</v>
      </c>
      <c r="J42" s="16" t="s">
        <v>115</v>
      </c>
      <c r="K42" s="16" t="s">
        <v>116</v>
      </c>
      <c r="L42" s="16" t="s">
        <v>117</v>
      </c>
      <c r="M42" s="12"/>
      <c r="N42" s="12"/>
      <c r="O42" s="12"/>
      <c r="P42" s="12"/>
      <c r="Q42" s="12"/>
      <c r="R42" s="12"/>
      <c r="S42" s="12"/>
      <c r="T42" s="12"/>
      <c r="U42" s="12"/>
    </row>
    <row r="43">
      <c r="A43" s="17" t="s">
        <v>118</v>
      </c>
      <c r="B43" s="22" t="s">
        <v>119</v>
      </c>
      <c r="C43" s="23"/>
      <c r="D43" s="23"/>
      <c r="E43" s="23"/>
      <c r="F43" s="23"/>
      <c r="G43" s="23"/>
      <c r="H43" s="23"/>
      <c r="I43" s="24"/>
      <c r="J43" s="23"/>
      <c r="K43" s="23"/>
      <c r="L43" s="23"/>
      <c r="M43" s="12"/>
      <c r="N43" s="12"/>
      <c r="O43" s="12"/>
      <c r="P43" s="12"/>
      <c r="Q43" s="12"/>
      <c r="R43" s="12"/>
      <c r="S43" s="12"/>
      <c r="T43" s="12"/>
      <c r="U43" s="12"/>
    </row>
    <row r="44">
      <c r="A44" s="16"/>
      <c r="B44" s="22" t="s">
        <v>120</v>
      </c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2"/>
      <c r="N44" s="12"/>
      <c r="O44" s="12"/>
      <c r="P44" s="12"/>
      <c r="Q44" s="12"/>
      <c r="R44" s="12"/>
      <c r="S44" s="12"/>
      <c r="T44" s="12"/>
      <c r="U44" s="12"/>
    </row>
    <row r="45">
      <c r="A45" s="16"/>
      <c r="B45" s="22"/>
      <c r="C45" s="16" t="s">
        <v>121</v>
      </c>
      <c r="D45" s="16" t="s">
        <v>122</v>
      </c>
      <c r="E45" s="16" t="s">
        <v>123</v>
      </c>
      <c r="F45" s="16" t="s">
        <v>124</v>
      </c>
      <c r="G45" s="16" t="s">
        <v>125</v>
      </c>
      <c r="H45" s="16" t="s">
        <v>126</v>
      </c>
      <c r="I45" s="16" t="s">
        <v>127</v>
      </c>
      <c r="J45" s="16" t="s">
        <v>128</v>
      </c>
      <c r="K45" s="16" t="s">
        <v>129</v>
      </c>
      <c r="L45" s="16" t="s">
        <v>130</v>
      </c>
      <c r="M45" s="12"/>
      <c r="N45" s="12"/>
      <c r="O45" s="12"/>
      <c r="P45" s="12"/>
      <c r="Q45" s="12"/>
      <c r="R45" s="12"/>
      <c r="S45" s="12"/>
      <c r="T45" s="12"/>
      <c r="U45" s="12"/>
    </row>
    <row r="46">
      <c r="A46" s="17" t="s">
        <v>131</v>
      </c>
      <c r="B46" s="22" t="s">
        <v>132</v>
      </c>
      <c r="C46" s="23" t="n">
        <v>3.4</v>
      </c>
      <c r="D46" s="23" t="n">
        <v>52004</v>
      </c>
      <c r="E46" s="23" t="n">
        <v>12.6</v>
      </c>
      <c r="F46" s="23" t="n">
        <v>35.7</v>
      </c>
      <c r="G46" s="23" t="n">
        <v>52935</v>
      </c>
      <c r="H46" s="23" t="n">
        <v>20942</v>
      </c>
      <c r="I46" s="24" t="n">
        <v>18836</v>
      </c>
      <c r="J46" s="23" t="n">
        <v>63000</v>
      </c>
      <c r="K46" s="23" t="n">
        <v>245777</v>
      </c>
      <c r="L46" s="23"/>
      <c r="M46" s="12"/>
      <c r="N46" s="12"/>
      <c r="O46" s="12"/>
      <c r="P46" s="12"/>
      <c r="Q46" s="12"/>
      <c r="R46" s="12"/>
      <c r="S46" s="12"/>
      <c r="T46" s="12"/>
      <c r="U46" s="12"/>
    </row>
    <row r="47">
      <c r="A47" s="16"/>
      <c r="B47" s="22" t="s">
        <v>133</v>
      </c>
      <c r="C47" s="23" t="n">
        <v>1612942</v>
      </c>
      <c r="D47" s="23" t="n">
        <v>72275</v>
      </c>
      <c r="E47" s="23" t="n">
        <v>115661</v>
      </c>
      <c r="F47" s="23" t="n">
        <v>30.13</v>
      </c>
      <c r="G47" s="23" t="n">
        <v>17.2</v>
      </c>
      <c r="H47" s="23" t="n">
        <v>225378</v>
      </c>
      <c r="I47" s="23" t="n">
        <v>1029069</v>
      </c>
      <c r="J47" s="23" t="n">
        <v>157632</v>
      </c>
      <c r="K47" s="23" t="n">
        <v>375099</v>
      </c>
      <c r="L47" s="23"/>
      <c r="M47" s="12"/>
      <c r="N47" s="12"/>
      <c r="O47" s="12"/>
      <c r="P47" s="12"/>
      <c r="Q47" s="12"/>
      <c r="R47" s="12"/>
      <c r="S47" s="12"/>
      <c r="T47" s="12"/>
      <c r="U47" s="12"/>
    </row>
    <row r="48">
      <c r="A48" s="16"/>
      <c r="B48" s="22"/>
      <c r="C48" s="16" t="s">
        <v>134</v>
      </c>
      <c r="D48" s="16" t="s">
        <v>135</v>
      </c>
      <c r="E48" s="16" t="s">
        <v>136</v>
      </c>
      <c r="F48" s="16" t="s">
        <v>137</v>
      </c>
      <c r="G48" s="16" t="s">
        <v>138</v>
      </c>
      <c r="H48" s="16" t="s">
        <v>139</v>
      </c>
      <c r="I48" s="16" t="s">
        <v>140</v>
      </c>
      <c r="J48" s="16" t="s">
        <v>141</v>
      </c>
      <c r="K48" s="16" t="s">
        <v>142</v>
      </c>
      <c r="L48" s="16" t="s">
        <v>143</v>
      </c>
      <c r="M48" s="12"/>
      <c r="N48" s="12"/>
      <c r="O48" s="12"/>
      <c r="P48" s="12"/>
      <c r="Q48" s="12"/>
      <c r="R48" s="12"/>
      <c r="S48" s="12"/>
      <c r="T48" s="12"/>
      <c r="U48" s="12"/>
    </row>
    <row r="49">
      <c r="A49" s="17" t="s">
        <v>144</v>
      </c>
      <c r="B49" s="22" t="s">
        <v>145</v>
      </c>
      <c r="C49" s="25"/>
      <c r="D49" s="23"/>
      <c r="E49" s="26"/>
      <c r="F49" s="26"/>
      <c r="G49" s="23"/>
      <c r="H49" s="24"/>
      <c r="I49" s="24"/>
      <c r="J49" s="23"/>
      <c r="K49" s="23"/>
      <c r="L49" s="24"/>
      <c r="M49" s="12"/>
      <c r="N49" s="12"/>
      <c r="O49" s="12"/>
      <c r="P49" s="12"/>
      <c r="Q49" s="12"/>
      <c r="R49" s="12"/>
      <c r="S49" s="12"/>
      <c r="T49" s="12"/>
      <c r="U49" s="12"/>
    </row>
    <row r="50">
      <c r="A50" s="16"/>
      <c r="B50" s="22" t="s">
        <v>146</v>
      </c>
      <c r="C50" s="23"/>
      <c r="D50" s="24"/>
      <c r="E50" s="26"/>
      <c r="F50" s="26"/>
      <c r="G50" s="23"/>
      <c r="H50" s="24"/>
      <c r="I50" s="24"/>
      <c r="J50" s="23"/>
      <c r="K50" s="23"/>
      <c r="L50" s="24"/>
      <c r="M50" s="12"/>
      <c r="N50" s="12"/>
      <c r="O50" s="12"/>
      <c r="P50" s="12"/>
      <c r="Q50" s="12"/>
      <c r="R50" s="12"/>
      <c r="S50" s="12"/>
      <c r="T50" s="12"/>
      <c r="U50" s="12"/>
    </row>
    <row r="51">
      <c r="A51" s="16"/>
      <c r="B51" s="22"/>
      <c r="C51" s="16" t="s">
        <v>147</v>
      </c>
      <c r="D51" s="16" t="s">
        <v>148</v>
      </c>
      <c r="E51" s="16" t="s">
        <v>149</v>
      </c>
      <c r="F51" s="16" t="s">
        <v>150</v>
      </c>
      <c r="G51" s="16" t="s">
        <v>151</v>
      </c>
      <c r="H51" s="16" t="s">
        <v>152</v>
      </c>
      <c r="I51" s="16" t="s">
        <v>153</v>
      </c>
      <c r="J51" s="16" t="s">
        <v>154</v>
      </c>
      <c r="K51" s="16" t="s">
        <v>155</v>
      </c>
      <c r="L51" s="16" t="s">
        <v>156</v>
      </c>
      <c r="M51" s="27"/>
      <c r="N51" s="12"/>
      <c r="O51" s="12"/>
      <c r="P51" s="12"/>
      <c r="Q51" s="12"/>
      <c r="R51" s="12"/>
      <c r="S51" s="12"/>
      <c r="T51" s="12"/>
      <c r="U51" s="12"/>
    </row>
    <row r="52">
      <c r="A52" s="17" t="s">
        <v>157</v>
      </c>
      <c r="B52" s="22" t="s">
        <v>158</v>
      </c>
      <c r="C52" s="23" t="n">
        <v>1.9</v>
      </c>
      <c r="D52" s="23" t="n">
        <v>72855</v>
      </c>
      <c r="E52" s="23" t="n">
        <v>15.2</v>
      </c>
      <c r="F52" s="23" t="n">
        <v>27.04</v>
      </c>
      <c r="G52" s="23" t="n">
        <v>48953</v>
      </c>
      <c r="H52" s="23" t="n">
        <v>15901</v>
      </c>
      <c r="I52" s="23" t="n">
        <v>24876</v>
      </c>
      <c r="J52" s="23" t="n">
        <v>24532</v>
      </c>
      <c r="K52" s="23" t="n">
        <v>21984</v>
      </c>
      <c r="L52" s="24"/>
      <c r="M52" s="27"/>
      <c r="N52" s="12"/>
      <c r="O52" s="12"/>
      <c r="P52" s="12"/>
      <c r="Q52" s="12"/>
      <c r="R52" s="12"/>
      <c r="S52" s="12"/>
      <c r="T52" s="12"/>
      <c r="U52" s="12"/>
    </row>
    <row r="53">
      <c r="A53" s="16"/>
      <c r="B53" s="22" t="s">
        <v>159</v>
      </c>
      <c r="C53" s="23" t="n">
        <v>1613197</v>
      </c>
      <c r="D53" s="23" t="n">
        <v>71416</v>
      </c>
      <c r="E53" s="23" t="n">
        <v>115015</v>
      </c>
      <c r="F53" s="23" t="n">
        <v>30.12</v>
      </c>
      <c r="G53" s="23" t="n">
        <v>17.2</v>
      </c>
      <c r="H53" s="23" t="n">
        <v>224812</v>
      </c>
      <c r="I53" s="23" t="n">
        <v>1026294</v>
      </c>
      <c r="J53" s="23" t="n">
        <v>157573</v>
      </c>
      <c r="K53" s="23" t="n">
        <v>374953</v>
      </c>
      <c r="L53" s="24"/>
      <c r="M53" s="27"/>
      <c r="N53" s="12"/>
      <c r="O53" s="12"/>
      <c r="P53" s="12"/>
      <c r="Q53" s="12"/>
      <c r="R53" s="12"/>
      <c r="S53" s="12"/>
      <c r="T53" s="12"/>
      <c r="U53" s="12"/>
    </row>
    <row r="54">
      <c r="A54" s="16"/>
      <c r="B54" s="22"/>
      <c r="C54" s="16" t="s">
        <v>160</v>
      </c>
      <c r="D54" s="16" t="s">
        <v>161</v>
      </c>
      <c r="E54" s="16" t="s">
        <v>162</v>
      </c>
      <c r="F54" s="16" t="s">
        <v>163</v>
      </c>
      <c r="G54" s="16" t="s">
        <v>164</v>
      </c>
      <c r="H54" s="16" t="s">
        <v>165</v>
      </c>
      <c r="I54" s="16" t="s">
        <v>166</v>
      </c>
      <c r="J54" s="16" t="s">
        <v>167</v>
      </c>
      <c r="K54" s="16" t="s">
        <v>168</v>
      </c>
      <c r="L54" s="16" t="s">
        <v>169</v>
      </c>
      <c r="M54" s="27"/>
      <c r="N54" s="12"/>
      <c r="O54" s="12"/>
      <c r="P54" s="12"/>
      <c r="Q54" s="12"/>
      <c r="R54" s="12"/>
      <c r="S54" s="12"/>
      <c r="T54" s="12"/>
      <c r="U54" s="12"/>
    </row>
    <row r="55">
      <c r="A55" s="17" t="s">
        <v>170</v>
      </c>
      <c r="B55" s="22" t="s">
        <v>171</v>
      </c>
      <c r="C55" s="25"/>
      <c r="D55" s="23" t="n">
        <v>32317</v>
      </c>
      <c r="E55" s="23" t="n">
        <v>35.3</v>
      </c>
      <c r="F55" s="23" t="n">
        <v>94.87</v>
      </c>
      <c r="G55" s="23" t="n">
        <v>460265</v>
      </c>
      <c r="H55" s="23" t="n">
        <v>248031</v>
      </c>
      <c r="I55" s="23" t="n">
        <v>52685</v>
      </c>
      <c r="J55" s="23" t="n">
        <v>96561</v>
      </c>
      <c r="K55" s="23" t="n">
        <v>88424</v>
      </c>
      <c r="L55" s="24"/>
      <c r="M55" s="27"/>
      <c r="N55" s="12"/>
      <c r="O55" s="12"/>
      <c r="P55" s="12"/>
      <c r="Q55" s="12"/>
      <c r="R55" s="12"/>
      <c r="S55" s="12"/>
      <c r="T55" s="12"/>
      <c r="U55" s="12"/>
    </row>
    <row r="56">
      <c r="A56" s="16"/>
      <c r="B56" s="22" t="s">
        <v>172</v>
      </c>
      <c r="C56" s="28"/>
      <c r="D56" s="23" t="n">
        <v>70920</v>
      </c>
      <c r="E56" s="23" t="n">
        <v>114691</v>
      </c>
      <c r="F56" s="23" t="n">
        <v>30.13</v>
      </c>
      <c r="G56" s="23" t="n">
        <v>17.3</v>
      </c>
      <c r="H56" s="23" t="n">
        <v>224604</v>
      </c>
      <c r="I56" s="23" t="n">
        <v>1024540</v>
      </c>
      <c r="J56" s="23" t="n">
        <v>157571</v>
      </c>
      <c r="K56" s="23" t="n">
        <v>374893</v>
      </c>
      <c r="L56" s="24"/>
      <c r="M56" s="27"/>
      <c r="N56" s="12"/>
      <c r="O56" s="12"/>
      <c r="P56" s="12"/>
      <c r="Q56" s="12"/>
      <c r="R56" s="12"/>
      <c r="S56" s="12"/>
      <c r="T56" s="12"/>
      <c r="U56" s="12"/>
    </row>
    <row r="57">
      <c r="A57" s="17"/>
      <c r="B57" s="22"/>
      <c r="C57" s="16" t="s">
        <v>173</v>
      </c>
      <c r="D57" s="16" t="s">
        <v>174</v>
      </c>
      <c r="E57" s="16" t="s">
        <v>175</v>
      </c>
      <c r="F57" s="16" t="s">
        <v>176</v>
      </c>
      <c r="G57" s="16" t="s">
        <v>177</v>
      </c>
      <c r="H57" s="16" t="s">
        <v>178</v>
      </c>
      <c r="I57" s="16" t="s">
        <v>179</v>
      </c>
      <c r="J57" s="16" t="s">
        <v>180</v>
      </c>
      <c r="K57" s="16" t="s">
        <v>181</v>
      </c>
      <c r="L57" s="16" t="s">
        <v>182</v>
      </c>
      <c r="M57" s="27"/>
      <c r="N57" s="12"/>
      <c r="O57" s="12"/>
      <c r="P57" s="12"/>
      <c r="Q57" s="12"/>
      <c r="R57" s="12"/>
      <c r="S57" s="12"/>
      <c r="T57" s="12"/>
      <c r="U57" s="12"/>
    </row>
    <row r="58">
      <c r="A58" s="17" t="s">
        <v>183</v>
      </c>
      <c r="B58" s="22" t="s">
        <v>184</v>
      </c>
      <c r="C58" s="25" t="n">
        <v>2.5</v>
      </c>
      <c r="D58" s="23" t="n">
        <v>117554</v>
      </c>
      <c r="E58" s="23" t="n">
        <v>17.1</v>
      </c>
      <c r="F58" s="23" t="n">
        <v>24.37</v>
      </c>
      <c r="G58" s="23" t="n">
        <v>147545</v>
      </c>
      <c r="H58" s="24" t="n">
        <v>47393</v>
      </c>
      <c r="I58" s="24" t="n">
        <v>33645</v>
      </c>
      <c r="J58" s="23" t="n">
        <v>38991</v>
      </c>
      <c r="K58" s="23" t="n">
        <v>90766</v>
      </c>
      <c r="L58" s="24"/>
      <c r="M58" s="27"/>
      <c r="N58" s="12"/>
      <c r="O58" s="12"/>
      <c r="P58" s="12"/>
      <c r="Q58" s="12"/>
      <c r="R58" s="12"/>
      <c r="S58" s="12"/>
      <c r="T58" s="12"/>
      <c r="U58" s="12"/>
    </row>
    <row r="59">
      <c r="A59" s="16"/>
      <c r="B59" s="22" t="s">
        <v>185</v>
      </c>
      <c r="C59" s="23" t="n">
        <v>1613935</v>
      </c>
      <c r="D59" s="24" t="n">
        <v>70155</v>
      </c>
      <c r="E59" s="23" t="n">
        <v>113811</v>
      </c>
      <c r="F59" s="23" t="n">
        <v>30.13</v>
      </c>
      <c r="G59" s="23" t="n">
        <v>17.4</v>
      </c>
      <c r="H59" s="24" t="n">
        <v>224169</v>
      </c>
      <c r="I59" s="25" t="n">
        <v>101.4</v>
      </c>
      <c r="J59" s="23" t="n">
        <v>157414</v>
      </c>
      <c r="K59" s="23" t="n">
        <v>374604</v>
      </c>
      <c r="L59" s="24"/>
      <c r="M59" s="27"/>
      <c r="N59" s="12"/>
      <c r="O59" s="12"/>
      <c r="P59" s="12"/>
      <c r="Q59" s="12"/>
      <c r="R59" s="12"/>
      <c r="S59" s="12"/>
      <c r="T59" s="12"/>
      <c r="U59" s="12"/>
    </row>
    <row r="60">
      <c r="A60" s="16"/>
      <c r="B60" s="22"/>
      <c r="C60" s="29" t="s">
        <v>186</v>
      </c>
      <c r="D60" s="29" t="s">
        <v>187</v>
      </c>
      <c r="E60" s="29" t="s">
        <v>188</v>
      </c>
      <c r="F60" s="29" t="s">
        <v>189</v>
      </c>
      <c r="G60" s="29" t="s">
        <v>190</v>
      </c>
      <c r="H60" s="29" t="s">
        <v>191</v>
      </c>
      <c r="I60" s="29" t="s">
        <v>192</v>
      </c>
      <c r="J60" s="29" t="s">
        <v>193</v>
      </c>
      <c r="K60" s="29" t="s">
        <v>194</v>
      </c>
      <c r="L60" s="29" t="s">
        <v>195</v>
      </c>
      <c r="M60" s="27"/>
      <c r="N60" s="12"/>
      <c r="O60" s="12"/>
      <c r="P60" s="12"/>
      <c r="Q60" s="12"/>
      <c r="R60" s="12"/>
      <c r="S60" s="12"/>
      <c r="T60" s="12"/>
      <c r="U60" s="12"/>
    </row>
    <row r="61">
      <c r="A61" s="17" t="s">
        <v>196</v>
      </c>
      <c r="B61" s="22" t="s">
        <v>197</v>
      </c>
      <c r="C61" s="25"/>
      <c r="D61" s="28"/>
      <c r="E61" s="23" t="n">
        <v>509445</v>
      </c>
      <c r="F61" s="23" t="n">
        <v>73.5</v>
      </c>
      <c r="G61" s="23" t="n">
        <v>665295</v>
      </c>
      <c r="H61" s="24" t="n">
        <v>137657</v>
      </c>
      <c r="I61" s="24" t="n">
        <v>117523</v>
      </c>
      <c r="J61" s="23" t="n">
        <v>141743</v>
      </c>
      <c r="K61" s="23" t="n">
        <v>102859</v>
      </c>
      <c r="L61" s="24"/>
      <c r="M61" s="27"/>
      <c r="N61" s="12"/>
      <c r="O61" s="12"/>
      <c r="P61" s="12"/>
      <c r="Q61" s="12"/>
      <c r="R61" s="12"/>
      <c r="S61" s="12"/>
      <c r="T61" s="12"/>
      <c r="U61" s="12"/>
    </row>
    <row r="62">
      <c r="A62" s="16"/>
      <c r="B62" s="22" t="s">
        <v>198</v>
      </c>
      <c r="C62" s="28"/>
      <c r="D62" s="24"/>
      <c r="E62" s="28"/>
      <c r="F62" s="28"/>
      <c r="G62" s="28"/>
      <c r="H62" s="24"/>
      <c r="I62" s="24"/>
      <c r="J62" s="28"/>
      <c r="K62" s="23" t="n">
        <v>374558</v>
      </c>
      <c r="L62" s="24"/>
      <c r="M62" s="27"/>
      <c r="N62" s="12"/>
      <c r="O62" s="12"/>
      <c r="P62" s="12"/>
      <c r="Q62" s="12"/>
      <c r="R62" s="12"/>
      <c r="S62" s="12"/>
      <c r="T62" s="12"/>
      <c r="U62" s="12"/>
    </row>
    <row r="63">
      <c r="A63" s="16"/>
      <c r="B63" s="16"/>
      <c r="C63" s="29" t="s">
        <v>199</v>
      </c>
      <c r="D63" s="29" t="s">
        <v>200</v>
      </c>
      <c r="E63" s="29" t="s">
        <v>201</v>
      </c>
      <c r="F63" s="29" t="s">
        <v>202</v>
      </c>
      <c r="G63" s="29" t="s">
        <v>203</v>
      </c>
      <c r="H63" s="29" t="s">
        <v>204</v>
      </c>
      <c r="I63" s="29" t="s">
        <v>205</v>
      </c>
      <c r="J63" s="29" t="s">
        <v>206</v>
      </c>
      <c r="K63" s="29" t="s">
        <v>207</v>
      </c>
      <c r="L63" s="29" t="s">
        <v>208</v>
      </c>
      <c r="M63" s="27"/>
      <c r="N63" s="12"/>
      <c r="O63" s="12"/>
      <c r="P63" s="12"/>
      <c r="Q63" s="12"/>
      <c r="R63" s="12"/>
      <c r="S63" s="12"/>
      <c r="T63" s="12"/>
      <c r="U63" s="12"/>
    </row>
    <row r="64">
      <c r="A64" s="17" t="s">
        <v>209</v>
      </c>
      <c r="B64" s="22" t="s">
        <v>210</v>
      </c>
      <c r="C64" s="25" t="n">
        <v>1.7</v>
      </c>
      <c r="D64" s="23"/>
      <c r="E64" s="23" t="n">
        <v>8.9</v>
      </c>
      <c r="F64" s="23" t="n">
        <v>16.75</v>
      </c>
      <c r="G64" s="23" t="n">
        <v>47368</v>
      </c>
      <c r="H64" s="24" t="n">
        <v>176281</v>
      </c>
      <c r="I64" s="24" t="n">
        <v>144804</v>
      </c>
      <c r="J64" s="23" t="n">
        <v>60648</v>
      </c>
      <c r="K64" s="23" t="n">
        <v>49588</v>
      </c>
      <c r="L64" s="24"/>
      <c r="M64" s="27"/>
      <c r="N64" s="12"/>
      <c r="O64" s="12"/>
      <c r="P64" s="12"/>
      <c r="Q64" s="12"/>
      <c r="R64" s="12"/>
      <c r="S64" s="12"/>
      <c r="T64" s="12"/>
      <c r="U64" s="12"/>
    </row>
    <row r="65">
      <c r="A65" s="16"/>
      <c r="B65" s="22" t="s">
        <v>211</v>
      </c>
      <c r="C65" s="23" t="n">
        <v>1614525</v>
      </c>
      <c r="D65" s="24" t="n">
        <v>69517</v>
      </c>
      <c r="E65" s="23" t="n">
        <v>112776</v>
      </c>
      <c r="F65" s="23" t="n">
        <v>30.15</v>
      </c>
      <c r="G65" s="23" t="n">
        <v>17.4</v>
      </c>
      <c r="H65" s="24" t="n">
        <v>223344</v>
      </c>
      <c r="I65" s="24" t="n">
        <v>1010649</v>
      </c>
      <c r="J65" s="23" t="n">
        <v>157198</v>
      </c>
      <c r="K65" s="23" t="n">
        <v>374530</v>
      </c>
      <c r="L65" s="24"/>
      <c r="M65" s="27"/>
      <c r="N65" s="12"/>
      <c r="O65" s="12"/>
      <c r="P65" s="12"/>
      <c r="Q65" s="12"/>
      <c r="R65" s="12"/>
      <c r="S65" s="12"/>
      <c r="T65" s="12"/>
      <c r="U65" s="12"/>
    </row>
    <row r="66">
      <c r="A66" s="16"/>
      <c r="B66" s="22"/>
      <c r="C66" s="29" t="s">
        <v>212</v>
      </c>
      <c r="D66" s="29" t="s">
        <v>213</v>
      </c>
      <c r="E66" s="29" t="s">
        <v>214</v>
      </c>
      <c r="F66" s="29" t="s">
        <v>215</v>
      </c>
      <c r="G66" s="29" t="s">
        <v>216</v>
      </c>
      <c r="H66" s="29" t="s">
        <v>217</v>
      </c>
      <c r="I66" s="29" t="s">
        <v>218</v>
      </c>
      <c r="J66" s="29" t="s">
        <v>219</v>
      </c>
      <c r="K66" s="29" t="s">
        <v>220</v>
      </c>
      <c r="L66" s="29" t="s">
        <v>221</v>
      </c>
      <c r="M66" s="27"/>
      <c r="N66" s="12"/>
      <c r="O66" s="12"/>
      <c r="P66" s="12"/>
      <c r="Q66" s="12"/>
      <c r="R66" s="12"/>
      <c r="S66" s="12"/>
      <c r="T66" s="12"/>
      <c r="U66" s="12"/>
    </row>
    <row r="67">
      <c r="A67" s="17" t="s">
        <v>222</v>
      </c>
      <c r="B67" s="22" t="s">
        <v>223</v>
      </c>
      <c r="C67" s="25"/>
      <c r="D67" s="23" t="n">
        <v>64803</v>
      </c>
      <c r="E67" s="23" t="n">
        <v>16.4</v>
      </c>
      <c r="F67" s="23" t="n">
        <v>15.61</v>
      </c>
      <c r="G67" s="28" t="n">
        <v>50514</v>
      </c>
      <c r="H67" s="24" t="n">
        <v>20441</v>
      </c>
      <c r="I67" s="24" t="n">
        <v>42552</v>
      </c>
      <c r="J67" s="23" t="n">
        <v>31348</v>
      </c>
      <c r="K67" s="23" t="n">
        <v>45195</v>
      </c>
      <c r="L67" s="24"/>
      <c r="M67" s="27"/>
      <c r="N67" s="12"/>
      <c r="O67" s="12"/>
      <c r="P67" s="12"/>
      <c r="Q67" s="12"/>
      <c r="R67" s="12"/>
      <c r="S67" s="12"/>
      <c r="T67" s="12"/>
      <c r="U67" s="12"/>
    </row>
    <row r="68">
      <c r="A68" s="16"/>
      <c r="B68" s="22" t="s">
        <v>224</v>
      </c>
      <c r="C68" s="23"/>
      <c r="D68" s="24" t="n">
        <v>69314</v>
      </c>
      <c r="E68" s="23" t="n">
        <v>112659</v>
      </c>
      <c r="F68" s="23" t="n">
        <v>30.16</v>
      </c>
      <c r="G68" s="23" t="n">
        <v>17.4</v>
      </c>
      <c r="H68" s="24" t="n">
        <v>221938</v>
      </c>
      <c r="I68" s="24" t="n">
        <v>1010051</v>
      </c>
      <c r="J68" s="23" t="n">
        <v>156927</v>
      </c>
      <c r="K68" s="23" t="n">
        <v>374513</v>
      </c>
      <c r="L68" s="24"/>
      <c r="M68" s="27"/>
      <c r="N68" s="12"/>
      <c r="O68" s="12"/>
      <c r="P68" s="12"/>
      <c r="Q68" s="12"/>
      <c r="R68" s="12"/>
      <c r="S68" s="12"/>
      <c r="T68" s="12"/>
      <c r="U68" s="12"/>
    </row>
    <row r="69">
      <c r="A69" s="16"/>
      <c r="B69" s="22"/>
      <c r="C69" s="29" t="s">
        <v>225</v>
      </c>
      <c r="D69" s="29" t="s">
        <v>226</v>
      </c>
      <c r="E69" s="29" t="s">
        <v>227</v>
      </c>
      <c r="F69" s="29" t="s">
        <v>228</v>
      </c>
      <c r="G69" s="29" t="s">
        <v>229</v>
      </c>
      <c r="H69" s="29" t="s">
        <v>230</v>
      </c>
      <c r="I69" s="29" t="s">
        <v>231</v>
      </c>
      <c r="J69" s="29" t="s">
        <v>232</v>
      </c>
      <c r="K69" s="29" t="s">
        <v>233</v>
      </c>
      <c r="L69" s="29" t="s">
        <v>234</v>
      </c>
      <c r="M69" s="27"/>
      <c r="N69" s="12"/>
      <c r="O69" s="12"/>
      <c r="P69" s="12"/>
      <c r="Q69" s="12"/>
      <c r="R69" s="12"/>
      <c r="S69" s="12"/>
      <c r="T69" s="12"/>
      <c r="U69" s="12"/>
    </row>
    <row r="70">
      <c r="A70" s="17" t="s">
        <v>235</v>
      </c>
      <c r="B70" s="22" t="s">
        <v>236</v>
      </c>
      <c r="C70" s="25"/>
      <c r="D70" s="28"/>
      <c r="E70" s="23" t="n">
        <v>162900</v>
      </c>
      <c r="F70" s="23" t="n">
        <v>39.76</v>
      </c>
      <c r="G70" s="23" t="n">
        <v>109496</v>
      </c>
      <c r="H70" s="24" t="n">
        <v>42347</v>
      </c>
      <c r="I70" s="24" t="n">
        <v>76900</v>
      </c>
      <c r="J70" s="28"/>
      <c r="K70" s="23" t="n">
        <v>125263</v>
      </c>
      <c r="L70" s="24"/>
      <c r="M70" s="27"/>
      <c r="N70" s="12"/>
      <c r="O70" s="12"/>
      <c r="P70" s="12"/>
      <c r="Q70" s="12"/>
      <c r="R70" s="12"/>
      <c r="S70" s="12"/>
      <c r="T70" s="12"/>
      <c r="U70" s="12"/>
    </row>
    <row r="71">
      <c r="A71" s="16"/>
      <c r="B71" s="22" t="s">
        <v>237</v>
      </c>
      <c r="C71" s="28"/>
      <c r="D71" s="24"/>
      <c r="E71" s="28"/>
      <c r="F71" s="28"/>
      <c r="G71" s="28"/>
      <c r="H71" s="24"/>
      <c r="I71" s="24"/>
      <c r="J71" s="28"/>
      <c r="K71" s="23" t="n">
        <v>374486</v>
      </c>
      <c r="L71" s="24"/>
      <c r="M71" s="27"/>
      <c r="N71" s="12"/>
      <c r="O71" s="12"/>
      <c r="P71" s="12"/>
      <c r="Q71" s="12"/>
      <c r="R71" s="12"/>
      <c r="S71" s="12"/>
      <c r="T71" s="12"/>
      <c r="U71" s="12"/>
    </row>
    <row r="72">
      <c r="A72" s="16"/>
      <c r="B72" s="22"/>
      <c r="C72" s="29" t="s">
        <v>238</v>
      </c>
      <c r="D72" s="29" t="s">
        <v>239</v>
      </c>
      <c r="E72" s="29" t="s">
        <v>240</v>
      </c>
      <c r="F72" s="29" t="s">
        <v>241</v>
      </c>
      <c r="G72" s="29" t="s">
        <v>242</v>
      </c>
      <c r="H72" s="29" t="s">
        <v>243</v>
      </c>
      <c r="I72" s="29" t="s">
        <v>244</v>
      </c>
      <c r="J72" s="29" t="s">
        <v>245</v>
      </c>
      <c r="K72" s="29" t="s">
        <v>246</v>
      </c>
      <c r="L72" s="29" t="s">
        <v>247</v>
      </c>
      <c r="M72" s="27"/>
      <c r="N72" s="12"/>
      <c r="O72" s="12"/>
      <c r="P72" s="12"/>
      <c r="Q72" s="12"/>
      <c r="R72" s="12"/>
      <c r="S72" s="12"/>
      <c r="T72" s="12"/>
      <c r="U72" s="12"/>
    </row>
    <row r="73">
      <c r="A73" s="17" t="s">
        <v>248</v>
      </c>
      <c r="B73" s="22" t="s">
        <v>249</v>
      </c>
      <c r="C73" s="25" t="n">
        <v>1.7</v>
      </c>
      <c r="D73" s="23" t="n">
        <v>59962</v>
      </c>
      <c r="E73" s="23" t="n">
        <v>13.6</v>
      </c>
      <c r="F73" s="23" t="n">
        <v>19.43</v>
      </c>
      <c r="G73" s="23" t="n">
        <v>79589</v>
      </c>
      <c r="H73" s="24" t="n">
        <v>75049</v>
      </c>
      <c r="I73" s="24" t="n">
        <v>40330</v>
      </c>
      <c r="J73" s="23" t="n">
        <v>30183</v>
      </c>
      <c r="K73" s="23" t="n">
        <v>98766</v>
      </c>
      <c r="L73" s="24"/>
      <c r="M73" s="27"/>
      <c r="N73" s="12"/>
      <c r="O73" s="12"/>
      <c r="P73" s="12"/>
      <c r="Q73" s="12"/>
      <c r="R73" s="12"/>
      <c r="S73" s="12"/>
      <c r="T73" s="12"/>
      <c r="U73" s="12"/>
    </row>
    <row r="74">
      <c r="A74" s="16"/>
      <c r="B74" s="22" t="s">
        <v>250</v>
      </c>
      <c r="C74" s="23" t="n">
        <v>1615082</v>
      </c>
      <c r="D74" s="24" t="n">
        <v>68753</v>
      </c>
      <c r="E74" s="23" t="n">
        <v>111978</v>
      </c>
      <c r="F74" s="23" t="n">
        <v>30.09</v>
      </c>
      <c r="G74" s="23" t="n">
        <v>17.4</v>
      </c>
      <c r="H74" s="24" t="n">
        <v>221708</v>
      </c>
      <c r="I74" s="24" t="n">
        <v>1009312</v>
      </c>
      <c r="J74" s="23" t="n">
        <v>156711</v>
      </c>
      <c r="K74" s="23" t="n">
        <v>374396</v>
      </c>
      <c r="L74" s="24"/>
      <c r="M74" s="27"/>
      <c r="N74" s="12"/>
      <c r="O74" s="12"/>
      <c r="P74" s="12"/>
      <c r="Q74" s="12"/>
      <c r="R74" s="12"/>
      <c r="S74" s="12"/>
      <c r="T74" s="12"/>
      <c r="U74" s="12"/>
    </row>
    <row r="75">
      <c r="A75" s="16"/>
      <c r="B75" s="22"/>
      <c r="C75" s="29" t="s">
        <v>251</v>
      </c>
      <c r="D75" s="29" t="s">
        <v>252</v>
      </c>
      <c r="E75" s="29" t="s">
        <v>253</v>
      </c>
      <c r="F75" s="29" t="s">
        <v>254</v>
      </c>
      <c r="G75" s="29" t="s">
        <v>255</v>
      </c>
      <c r="H75" s="29" t="s">
        <v>256</v>
      </c>
      <c r="I75" s="29" t="s">
        <v>257</v>
      </c>
      <c r="J75" s="29" t="s">
        <v>258</v>
      </c>
      <c r="K75" s="29" t="s">
        <v>259</v>
      </c>
      <c r="L75" s="29" t="s">
        <v>260</v>
      </c>
      <c r="M75" s="30"/>
      <c r="N75" s="12"/>
      <c r="O75" s="12"/>
      <c r="P75" s="12"/>
      <c r="Q75" s="12"/>
      <c r="R75" s="12"/>
      <c r="S75" s="12"/>
      <c r="T75" s="12"/>
      <c r="U75" s="12"/>
    </row>
    <row r="76">
      <c r="A76" s="17" t="s">
        <v>261</v>
      </c>
      <c r="B76" s="22" t="s">
        <v>262</v>
      </c>
      <c r="C76" s="25" t="n">
        <v>1.9</v>
      </c>
      <c r="D76" s="23" t="n">
        <v>77795</v>
      </c>
      <c r="E76" s="23" t="n">
        <v>22.5</v>
      </c>
      <c r="F76" s="23" t="n">
        <v>24.25</v>
      </c>
      <c r="G76" s="23" t="n">
        <v>137533</v>
      </c>
      <c r="H76" s="24" t="n">
        <v>75930</v>
      </c>
      <c r="I76" s="24" t="n">
        <v>36571</v>
      </c>
      <c r="J76" s="23" t="n">
        <v>31149</v>
      </c>
      <c r="K76" s="23" t="n">
        <v>76293</v>
      </c>
      <c r="L76" s="24"/>
      <c r="M76" s="30"/>
      <c r="N76" s="12"/>
      <c r="O76" s="12"/>
      <c r="P76" s="12"/>
      <c r="Q76" s="12"/>
      <c r="R76" s="12"/>
      <c r="S76" s="12"/>
      <c r="T76" s="12"/>
      <c r="U76" s="12"/>
    </row>
    <row r="77">
      <c r="A77" s="16"/>
      <c r="B77" s="22" t="s">
        <v>263</v>
      </c>
      <c r="C77" s="23" t="n">
        <v>1615196</v>
      </c>
      <c r="D77" s="24" t="n">
        <v>68492</v>
      </c>
      <c r="E77" s="23" t="n">
        <v>111820</v>
      </c>
      <c r="F77" s="23" t="n">
        <v>30.02</v>
      </c>
      <c r="G77" s="23" t="s">
        <v>264</v>
      </c>
      <c r="H77" s="24" t="n">
        <v>221391</v>
      </c>
      <c r="I77" s="24" t="n">
        <v>1009217</v>
      </c>
      <c r="J77" s="23" t="n">
        <v>156634</v>
      </c>
      <c r="K77" s="23" t="n">
        <v>374302</v>
      </c>
      <c r="L77" s="24"/>
      <c r="M77" s="30"/>
      <c r="N77" s="12"/>
      <c r="O77" s="12"/>
      <c r="P77" s="12"/>
      <c r="Q77" s="12"/>
      <c r="R77" s="12"/>
      <c r="S77" s="12"/>
      <c r="T77" s="12"/>
      <c r="U77" s="12"/>
    </row>
    <row r="78">
      <c r="A78" s="16"/>
      <c r="B78" s="22"/>
      <c r="C78" s="29" t="s">
        <v>265</v>
      </c>
      <c r="D78" s="29" t="s">
        <v>266</v>
      </c>
      <c r="E78" s="29" t="s">
        <v>267</v>
      </c>
      <c r="F78" s="29" t="s">
        <v>268</v>
      </c>
      <c r="G78" s="29" t="s">
        <v>269</v>
      </c>
      <c r="H78" s="29" t="s">
        <v>270</v>
      </c>
      <c r="I78" s="29" t="s">
        <v>271</v>
      </c>
      <c r="J78" s="29" t="s">
        <v>272</v>
      </c>
      <c r="K78" s="29" t="s">
        <v>273</v>
      </c>
      <c r="L78" s="29" t="s">
        <v>274</v>
      </c>
      <c r="M78" s="30"/>
      <c r="N78" s="12"/>
      <c r="O78" s="12"/>
      <c r="P78" s="12"/>
      <c r="Q78" s="12"/>
      <c r="R78" s="12"/>
      <c r="S78" s="12"/>
      <c r="T78" s="12"/>
      <c r="U78" s="12"/>
    </row>
    <row r="79">
      <c r="A79" s="17" t="s">
        <v>275</v>
      </c>
      <c r="B79" s="22" t="s">
        <v>276</v>
      </c>
      <c r="C79" s="25"/>
      <c r="D79" s="23" t="n">
        <v>78000</v>
      </c>
      <c r="E79" s="23" t="n">
        <v>13.7</v>
      </c>
      <c r="F79" s="23" t="n">
        <v>25.22</v>
      </c>
      <c r="G79" s="23" t="n">
        <v>149298</v>
      </c>
      <c r="H79" s="24" t="n">
        <v>26513</v>
      </c>
      <c r="I79" s="24" t="n">
        <v>11267</v>
      </c>
      <c r="J79" s="23" t="n">
        <v>52355</v>
      </c>
      <c r="K79" s="23" t="n">
        <v>65820</v>
      </c>
      <c r="L79" s="24"/>
      <c r="M79" s="30"/>
      <c r="N79" s="12"/>
      <c r="O79" s="12"/>
      <c r="P79" s="12"/>
      <c r="Q79" s="12"/>
      <c r="R79" s="12"/>
      <c r="S79" s="12"/>
      <c r="T79" s="12"/>
      <c r="U79" s="12"/>
    </row>
    <row r="80">
      <c r="A80" s="16"/>
      <c r="B80" s="22" t="s">
        <v>277</v>
      </c>
      <c r="C80" s="28"/>
      <c r="D80" s="24" t="n">
        <v>68215</v>
      </c>
      <c r="E80" s="23" t="n">
        <v>111556</v>
      </c>
      <c r="F80" s="23" t="n">
        <v>301900</v>
      </c>
      <c r="G80" s="23" t="s">
        <v>278</v>
      </c>
      <c r="H80" s="24" t="n">
        <v>220879</v>
      </c>
      <c r="I80" s="24" t="n">
        <v>1009150</v>
      </c>
      <c r="J80" s="23" t="n">
        <v>156539</v>
      </c>
      <c r="K80" s="23" t="n">
        <v>374198</v>
      </c>
      <c r="L80" s="24"/>
      <c r="M80" s="30"/>
      <c r="N80" s="12"/>
      <c r="O80" s="12"/>
      <c r="P80" s="12"/>
      <c r="Q80" s="12"/>
      <c r="R80" s="12"/>
      <c r="S80" s="12"/>
      <c r="T80" s="12"/>
      <c r="U80" s="12"/>
    </row>
    <row r="81">
      <c r="A81" s="16"/>
      <c r="B81" s="22"/>
      <c r="C81" s="29" t="s">
        <v>279</v>
      </c>
      <c r="D81" s="29" t="s">
        <v>280</v>
      </c>
      <c r="E81" s="29" t="s">
        <v>281</v>
      </c>
      <c r="F81" s="29" t="s">
        <v>282</v>
      </c>
      <c r="G81" s="29" t="s">
        <v>283</v>
      </c>
      <c r="H81" s="29" t="s">
        <v>284</v>
      </c>
      <c r="I81" s="29" t="s">
        <v>285</v>
      </c>
      <c r="J81" s="29" t="s">
        <v>286</v>
      </c>
      <c r="K81" s="29" t="s">
        <v>287</v>
      </c>
      <c r="L81" s="29" t="s">
        <v>288</v>
      </c>
      <c r="M81" s="30"/>
      <c r="N81" s="12"/>
      <c r="O81" s="12"/>
      <c r="P81" s="12"/>
      <c r="Q81" s="12"/>
      <c r="R81" s="12"/>
      <c r="S81" s="12"/>
      <c r="T81" s="12"/>
      <c r="U81" s="12"/>
    </row>
    <row r="82">
      <c r="A82" s="17" t="s">
        <v>289</v>
      </c>
      <c r="B82" s="22" t="s">
        <v>290</v>
      </c>
      <c r="C82" s="25"/>
      <c r="D82" s="28"/>
      <c r="E82" s="23" t="n">
        <v>129030</v>
      </c>
      <c r="F82" s="23" t="n">
        <v>29.76</v>
      </c>
      <c r="G82" s="23" t="n">
        <v>103491</v>
      </c>
      <c r="H82" s="24" t="n">
        <v>21127</v>
      </c>
      <c r="I82" s="24" t="n">
        <v>37115</v>
      </c>
      <c r="J82" s="28"/>
      <c r="K82" s="23" t="n">
        <v>18766</v>
      </c>
      <c r="L82" s="24"/>
      <c r="M82" s="30"/>
      <c r="N82" s="12"/>
      <c r="O82" s="12"/>
      <c r="P82" s="12"/>
      <c r="Q82" s="12"/>
      <c r="R82" s="12"/>
      <c r="S82" s="12"/>
      <c r="T82" s="12"/>
      <c r="U82" s="12"/>
    </row>
    <row r="83">
      <c r="A83" s="16"/>
      <c r="B83" s="22" t="s">
        <v>291</v>
      </c>
      <c r="C83" s="28"/>
      <c r="D83" s="24"/>
      <c r="E83" s="28"/>
      <c r="F83" s="28"/>
      <c r="G83" s="28"/>
      <c r="H83" s="24"/>
      <c r="I83" s="24"/>
      <c r="J83" s="28"/>
      <c r="K83" s="23" t="n">
        <v>374034</v>
      </c>
      <c r="L83" s="24"/>
      <c r="M83" s="30"/>
      <c r="N83" s="12"/>
      <c r="O83" s="12"/>
      <c r="P83" s="12"/>
      <c r="Q83" s="12"/>
      <c r="R83" s="12"/>
      <c r="S83" s="12"/>
      <c r="T83" s="12"/>
      <c r="U83" s="12"/>
    </row>
    <row r="84">
      <c r="A84" s="16"/>
      <c r="B84" s="22"/>
      <c r="C84" s="29" t="s">
        <v>292</v>
      </c>
      <c r="D84" s="29" t="s">
        <v>293</v>
      </c>
      <c r="E84" s="29" t="s">
        <v>294</v>
      </c>
      <c r="F84" s="29" t="s">
        <v>295</v>
      </c>
      <c r="G84" s="29" t="s">
        <v>296</v>
      </c>
      <c r="H84" s="29" t="s">
        <v>297</v>
      </c>
      <c r="I84" s="29" t="s">
        <v>298</v>
      </c>
      <c r="J84" s="29" t="s">
        <v>299</v>
      </c>
      <c r="K84" s="29" t="s">
        <v>300</v>
      </c>
      <c r="L84" s="29" t="s">
        <v>301</v>
      </c>
      <c r="M84" s="30"/>
      <c r="N84" s="12"/>
      <c r="O84" s="12"/>
      <c r="P84" s="12"/>
      <c r="Q84" s="12"/>
      <c r="R84" s="12"/>
      <c r="S84" s="12"/>
      <c r="T84" s="12"/>
      <c r="U84" s="12"/>
    </row>
    <row r="85">
      <c r="A85" s="17" t="s">
        <v>302</v>
      </c>
      <c r="B85" s="22" t="s">
        <v>303</v>
      </c>
      <c r="C85" s="25" t="n">
        <v>16511</v>
      </c>
      <c r="D85" s="23" t="n">
        <v>32122</v>
      </c>
      <c r="E85" s="23" t="n">
        <v>5.4</v>
      </c>
      <c r="F85" s="23" t="n">
        <v>18.81</v>
      </c>
      <c r="G85" s="23" t="n">
        <v>60271</v>
      </c>
      <c r="H85" s="24" t="n">
        <v>21541</v>
      </c>
      <c r="I85" s="24" t="n">
        <v>19243</v>
      </c>
      <c r="J85" s="23" t="n">
        <v>36758</v>
      </c>
      <c r="K85" s="23" t="n">
        <v>18010</v>
      </c>
      <c r="L85" s="24"/>
      <c r="M85" s="30"/>
      <c r="N85" s="12"/>
      <c r="O85" s="12"/>
      <c r="P85" s="12"/>
      <c r="Q85" s="12"/>
      <c r="R85" s="12"/>
      <c r="S85" s="12"/>
      <c r="T85" s="12"/>
      <c r="U85" s="12"/>
    </row>
    <row r="86">
      <c r="A86" s="16"/>
      <c r="B86" s="22" t="s">
        <v>304</v>
      </c>
      <c r="C86" s="23" t="n">
        <v>1615515</v>
      </c>
      <c r="D86" s="24" t="n">
        <v>67840</v>
      </c>
      <c r="E86" s="23" t="n">
        <v>110843</v>
      </c>
      <c r="F86" s="23" t="n">
        <v>30.23</v>
      </c>
      <c r="G86" s="23" t="s">
        <v>305</v>
      </c>
      <c r="H86" s="24" t="n">
        <v>220486</v>
      </c>
      <c r="I86" s="24" t="n">
        <v>1009189</v>
      </c>
      <c r="J86" s="23" t="n">
        <v>156360</v>
      </c>
      <c r="K86" s="23" t="n">
        <v>374016</v>
      </c>
      <c r="L86" s="24"/>
      <c r="M86" s="30"/>
      <c r="N86" s="12"/>
      <c r="O86" s="12"/>
      <c r="P86" s="12"/>
      <c r="Q86" s="12"/>
      <c r="R86" s="12"/>
      <c r="S86" s="12"/>
      <c r="T86" s="12"/>
      <c r="U86" s="12"/>
    </row>
    <row r="87">
      <c r="A87" s="16"/>
      <c r="B87" s="22"/>
      <c r="C87" s="29" t="s">
        <v>306</v>
      </c>
      <c r="D87" s="29" t="s">
        <v>307</v>
      </c>
      <c r="E87" s="29" t="s">
        <v>308</v>
      </c>
      <c r="F87" s="29" t="s">
        <v>309</v>
      </c>
      <c r="G87" s="29" t="s">
        <v>310</v>
      </c>
      <c r="H87" s="29" t="s">
        <v>311</v>
      </c>
      <c r="I87" s="29" t="s">
        <v>312</v>
      </c>
      <c r="J87" s="29" t="s">
        <v>313</v>
      </c>
      <c r="K87" s="29" t="s">
        <v>314</v>
      </c>
      <c r="L87" s="29" t="s">
        <v>315</v>
      </c>
      <c r="M87" s="30"/>
      <c r="N87" s="12"/>
      <c r="O87" s="12"/>
      <c r="P87" s="12"/>
      <c r="Q87" s="12"/>
      <c r="R87" s="12"/>
      <c r="S87" s="12"/>
      <c r="T87" s="12"/>
      <c r="U87" s="12"/>
    </row>
    <row r="88">
      <c r="A88" s="17" t="s">
        <v>316</v>
      </c>
      <c r="B88" s="22" t="s">
        <v>317</v>
      </c>
      <c r="C88" s="25" t="n">
        <v>1.6</v>
      </c>
      <c r="D88" s="23" t="n">
        <v>30662</v>
      </c>
      <c r="E88" s="23" t="n">
        <v>7.5</v>
      </c>
      <c r="F88" s="23" t="n">
        <v>34.02</v>
      </c>
      <c r="G88" s="23" t="n">
        <v>65000</v>
      </c>
      <c r="H88" s="24" t="n">
        <v>21127</v>
      </c>
      <c r="I88" s="24" t="n">
        <v>21700</v>
      </c>
      <c r="J88" s="23" t="n">
        <v>46248</v>
      </c>
      <c r="K88" s="23" t="n">
        <v>42327</v>
      </c>
      <c r="L88" s="24"/>
      <c r="M88" s="30"/>
      <c r="N88" s="12"/>
      <c r="O88" s="12"/>
      <c r="P88" s="12"/>
      <c r="Q88" s="12"/>
      <c r="R88" s="12"/>
      <c r="S88" s="12"/>
      <c r="T88" s="12"/>
      <c r="U88" s="12"/>
    </row>
    <row r="89">
      <c r="A89" s="16"/>
      <c r="B89" s="22" t="s">
        <v>318</v>
      </c>
      <c r="C89" s="23" t="n">
        <v>1615641</v>
      </c>
      <c r="D89" s="24" t="n">
        <v>67634</v>
      </c>
      <c r="E89" s="23" t="n">
        <v>110716</v>
      </c>
      <c r="F89" s="23" t="n">
        <v>34.24</v>
      </c>
      <c r="G89" s="23" t="s">
        <v>319</v>
      </c>
      <c r="H89" s="24" t="n">
        <v>220303</v>
      </c>
      <c r="I89" s="25" t="n">
        <v>1009118</v>
      </c>
      <c r="J89" s="23" t="n">
        <v>156232</v>
      </c>
      <c r="K89" s="23" t="n">
        <v>373971</v>
      </c>
      <c r="L89" s="24"/>
      <c r="M89" s="30"/>
      <c r="N89" s="12"/>
      <c r="O89" s="12"/>
      <c r="P89" s="12"/>
      <c r="Q89" s="12"/>
      <c r="R89" s="12"/>
      <c r="S89" s="12"/>
      <c r="T89" s="12"/>
      <c r="U89" s="12"/>
    </row>
    <row r="90">
      <c r="A90" s="16"/>
      <c r="B90" s="22"/>
      <c r="C90" s="29" t="s">
        <v>320</v>
      </c>
      <c r="D90" s="29" t="s">
        <v>321</v>
      </c>
      <c r="E90" s="29" t="s">
        <v>322</v>
      </c>
      <c r="F90" s="29" t="s">
        <v>323</v>
      </c>
      <c r="G90" s="29" t="s">
        <v>324</v>
      </c>
      <c r="H90" s="29" t="s">
        <v>325</v>
      </c>
      <c r="I90" s="29" t="s">
        <v>326</v>
      </c>
      <c r="J90" s="29" t="s">
        <v>327</v>
      </c>
      <c r="K90" s="29" t="s">
        <v>328</v>
      </c>
      <c r="L90" s="29" t="s">
        <v>329</v>
      </c>
      <c r="M90" s="30"/>
      <c r="N90" s="12"/>
      <c r="O90" s="12"/>
      <c r="P90" s="12"/>
      <c r="Q90" s="12"/>
      <c r="R90" s="12"/>
      <c r="S90" s="12"/>
      <c r="T90" s="12"/>
      <c r="U90" s="12"/>
    </row>
    <row r="91">
      <c r="A91" s="17" t="s">
        <v>330</v>
      </c>
      <c r="B91" s="22" t="s">
        <v>331</v>
      </c>
      <c r="C91" s="25" t="n">
        <v>1.2</v>
      </c>
      <c r="D91" s="23" t="n">
        <v>28939</v>
      </c>
      <c r="E91" s="23" t="n">
        <v>7.3</v>
      </c>
      <c r="F91" s="23" t="n">
        <v>27.37</v>
      </c>
      <c r="G91" s="23" t="n">
        <v>65000</v>
      </c>
      <c r="H91" s="24" t="n">
        <v>45913</v>
      </c>
      <c r="I91" s="24" t="n">
        <v>26205</v>
      </c>
      <c r="J91" s="23" t="n">
        <v>28730</v>
      </c>
      <c r="K91" s="23" t="n">
        <v>31104</v>
      </c>
      <c r="L91" s="24"/>
      <c r="M91" s="30"/>
      <c r="N91" s="12"/>
      <c r="O91" s="12"/>
      <c r="P91" s="12"/>
      <c r="Q91" s="12"/>
      <c r="R91" s="12"/>
      <c r="S91" s="12"/>
      <c r="T91" s="12"/>
      <c r="U91" s="12"/>
    </row>
    <row r="92">
      <c r="A92" s="16"/>
      <c r="B92" s="22" t="s">
        <v>332</v>
      </c>
      <c r="C92" s="23" t="n">
        <v>1615738</v>
      </c>
      <c r="D92" s="24" t="n">
        <v>67479</v>
      </c>
      <c r="E92" s="23" t="n">
        <v>110515</v>
      </c>
      <c r="F92" s="23" t="n">
        <v>30.24</v>
      </c>
      <c r="G92" s="23" t="n">
        <v>17.5</v>
      </c>
      <c r="H92" s="24" t="n">
        <v>220197</v>
      </c>
      <c r="I92" s="25" t="n">
        <v>100.9</v>
      </c>
      <c r="J92" s="23" t="n">
        <v>156066</v>
      </c>
      <c r="K92" s="23" t="n">
        <v>373932</v>
      </c>
      <c r="L92" s="24"/>
      <c r="M92" s="30"/>
      <c r="N92" s="12"/>
      <c r="O92" s="12"/>
      <c r="P92" s="12"/>
      <c r="Q92" s="12"/>
      <c r="R92" s="12"/>
      <c r="S92" s="12"/>
      <c r="T92" s="12"/>
      <c r="U92" s="12"/>
    </row>
    <row r="93">
      <c r="A93" s="16"/>
      <c r="B93" s="22"/>
      <c r="C93" s="29" t="s">
        <v>333</v>
      </c>
      <c r="D93" s="29" t="s">
        <v>334</v>
      </c>
      <c r="E93" s="29" t="s">
        <v>335</v>
      </c>
      <c r="F93" s="29" t="s">
        <v>336</v>
      </c>
      <c r="G93" s="29" t="s">
        <v>337</v>
      </c>
      <c r="H93" s="29" t="s">
        <v>338</v>
      </c>
      <c r="I93" s="29" t="s">
        <v>339</v>
      </c>
      <c r="J93" s="29" t="s">
        <v>340</v>
      </c>
      <c r="K93" s="29" t="s">
        <v>341</v>
      </c>
      <c r="L93" s="29" t="s">
        <v>342</v>
      </c>
      <c r="M93" s="30"/>
      <c r="N93" s="12"/>
      <c r="O93" s="12"/>
      <c r="P93" s="12"/>
      <c r="Q93" s="12"/>
      <c r="R93" s="12"/>
      <c r="S93" s="12"/>
      <c r="T93" s="12"/>
      <c r="U93" s="12"/>
    </row>
    <row r="94">
      <c r="A94" s="17" t="s">
        <v>343</v>
      </c>
      <c r="B94" s="22" t="s">
        <v>344</v>
      </c>
      <c r="C94" s="25" t="n">
        <v>8367</v>
      </c>
      <c r="D94" s="23" t="n">
        <v>20891</v>
      </c>
      <c r="E94" s="23" t="n">
        <v>8.8</v>
      </c>
      <c r="F94" s="23" t="n">
        <v>21.01</v>
      </c>
      <c r="G94" s="23" t="n">
        <v>35807</v>
      </c>
      <c r="H94" s="25" t="n">
        <v>11005</v>
      </c>
      <c r="I94" s="24" t="n">
        <v>11808</v>
      </c>
      <c r="J94" s="23" t="n">
        <v>38937</v>
      </c>
      <c r="K94" s="23" t="n">
        <v>47367</v>
      </c>
      <c r="L94" s="24"/>
      <c r="M94" s="30"/>
      <c r="N94" s="12"/>
      <c r="O94" s="12"/>
      <c r="P94" s="12"/>
      <c r="Q94" s="12"/>
      <c r="R94" s="12"/>
      <c r="S94" s="12"/>
      <c r="T94" s="12"/>
      <c r="U94" s="12"/>
    </row>
    <row r="95">
      <c r="A95" s="16"/>
      <c r="B95" s="22" t="s">
        <v>345</v>
      </c>
      <c r="C95" s="23" t="n">
        <v>1615816</v>
      </c>
      <c r="D95" s="24" t="n">
        <v>67363</v>
      </c>
      <c r="E95" s="23" t="n">
        <v>110116</v>
      </c>
      <c r="F95" s="23" t="n">
        <v>30.23</v>
      </c>
      <c r="G95" s="23" t="n">
        <v>17.5</v>
      </c>
      <c r="H95" s="24" t="n">
        <v>219751</v>
      </c>
      <c r="I95" s="25" t="n">
        <v>100.9</v>
      </c>
      <c r="J95" s="23" t="n">
        <v>156002</v>
      </c>
      <c r="K95" s="23" t="n">
        <v>373875</v>
      </c>
      <c r="L95" s="24"/>
      <c r="M95" s="30"/>
      <c r="N95" s="12"/>
      <c r="O95" s="12"/>
      <c r="P95" s="12"/>
      <c r="Q95" s="12"/>
      <c r="R95" s="12"/>
      <c r="S95" s="12"/>
      <c r="T95" s="12"/>
      <c r="U95" s="12"/>
    </row>
    <row r="96">
      <c r="A96" s="16"/>
      <c r="B96" s="22"/>
      <c r="C96" s="29" t="s">
        <v>346</v>
      </c>
      <c r="D96" s="29" t="s">
        <v>347</v>
      </c>
      <c r="E96" s="29" t="s">
        <v>348</v>
      </c>
      <c r="F96" s="29" t="s">
        <v>349</v>
      </c>
      <c r="G96" s="29" t="s">
        <v>350</v>
      </c>
      <c r="H96" s="29" t="s">
        <v>351</v>
      </c>
      <c r="I96" s="29" t="s">
        <v>352</v>
      </c>
      <c r="J96" s="29" t="s">
        <v>353</v>
      </c>
      <c r="K96" s="29" t="s">
        <v>354</v>
      </c>
      <c r="L96" s="29" t="s">
        <v>355</v>
      </c>
      <c r="M96" s="30"/>
      <c r="N96" s="12"/>
      <c r="O96" s="12"/>
      <c r="P96" s="12"/>
      <c r="Q96" s="12"/>
      <c r="R96" s="12"/>
      <c r="S96" s="12"/>
      <c r="T96" s="12"/>
      <c r="U96" s="12"/>
    </row>
    <row r="97">
      <c r="A97" s="17" t="s">
        <v>356</v>
      </c>
      <c r="B97" s="22" t="s">
        <v>357</v>
      </c>
      <c r="C97" s="25" t="n">
        <v>8165</v>
      </c>
      <c r="D97" s="23" t="n">
        <v>25712</v>
      </c>
      <c r="E97" s="23" t="n">
        <v>4.8</v>
      </c>
      <c r="F97" s="23" t="n">
        <v>30.2</v>
      </c>
      <c r="G97" s="23" t="n">
        <v>61000</v>
      </c>
      <c r="H97" s="25" t="n">
        <v>14539</v>
      </c>
      <c r="I97" s="24" t="n">
        <v>14143</v>
      </c>
      <c r="J97" s="23" t="n">
        <v>33540</v>
      </c>
      <c r="K97" s="23" t="n">
        <v>18186</v>
      </c>
      <c r="L97" s="24"/>
      <c r="M97" s="30"/>
      <c r="N97" s="12"/>
      <c r="O97" s="12"/>
      <c r="P97" s="12"/>
      <c r="Q97" s="12"/>
      <c r="R97" s="12"/>
      <c r="S97" s="12"/>
      <c r="T97" s="12"/>
      <c r="U97" s="12"/>
    </row>
    <row r="98">
      <c r="A98" s="16"/>
      <c r="B98" s="22" t="s">
        <v>358</v>
      </c>
      <c r="C98" s="23" t="n">
        <v>1615919</v>
      </c>
      <c r="D98" s="23" t="n">
        <v>67297</v>
      </c>
      <c r="E98" s="23" t="n">
        <v>109902</v>
      </c>
      <c r="F98" s="23" t="n">
        <v>30.23</v>
      </c>
      <c r="G98" s="23" t="n">
        <v>17.5</v>
      </c>
      <c r="H98" s="24" t="n">
        <v>219746</v>
      </c>
      <c r="I98" s="25" t="n">
        <v>100.8</v>
      </c>
      <c r="J98" s="23" t="n">
        <v>155911</v>
      </c>
      <c r="K98" s="23" t="n">
        <v>373813</v>
      </c>
      <c r="L98" s="24"/>
      <c r="M98" s="30"/>
      <c r="N98" s="12"/>
      <c r="O98" s="12"/>
      <c r="P98" s="12"/>
      <c r="Q98" s="12"/>
      <c r="R98" s="12"/>
      <c r="S98" s="12"/>
      <c r="T98" s="12"/>
      <c r="U98" s="12"/>
    </row>
    <row r="99">
      <c r="A99" s="16"/>
      <c r="B99" s="22"/>
      <c r="C99" s="29" t="s">
        <v>359</v>
      </c>
      <c r="D99" s="29" t="s">
        <v>360</v>
      </c>
      <c r="E99" s="29" t="s">
        <v>361</v>
      </c>
      <c r="F99" s="29" t="s">
        <v>362</v>
      </c>
      <c r="G99" s="29" t="s">
        <v>363</v>
      </c>
      <c r="H99" s="29" t="s">
        <v>364</v>
      </c>
      <c r="I99" s="29" t="s">
        <v>365</v>
      </c>
      <c r="J99" s="29" t="s">
        <v>366</v>
      </c>
      <c r="K99" s="29" t="s">
        <v>367</v>
      </c>
      <c r="L99" s="29" t="s">
        <v>368</v>
      </c>
      <c r="M99" s="30"/>
      <c r="N99" s="12"/>
      <c r="O99" s="12"/>
      <c r="P99" s="12"/>
      <c r="Q99" s="12"/>
      <c r="R99" s="12"/>
      <c r="S99" s="12"/>
      <c r="T99" s="12"/>
      <c r="U99" s="12"/>
    </row>
    <row r="100">
      <c r="A100" s="17" t="s">
        <v>369</v>
      </c>
      <c r="B100" s="22" t="s">
        <v>370</v>
      </c>
      <c r="C100" s="25"/>
      <c r="D100" s="23" t="n">
        <v>15912</v>
      </c>
      <c r="E100" s="23" t="n">
        <v>47367</v>
      </c>
      <c r="F100" s="28" t="n">
        <v>27.37</v>
      </c>
      <c r="G100" s="23" t="n">
        <v>87533</v>
      </c>
      <c r="H100" s="25"/>
      <c r="I100" s="24" t="n">
        <v>52143</v>
      </c>
      <c r="J100" s="28"/>
      <c r="K100" s="23" t="n">
        <v>38351</v>
      </c>
      <c r="L100" s="24"/>
      <c r="M100" s="30"/>
      <c r="N100" s="12"/>
      <c r="O100" s="12"/>
      <c r="P100" s="12"/>
      <c r="Q100" s="12"/>
      <c r="R100" s="12"/>
      <c r="S100" s="12"/>
      <c r="T100" s="12"/>
      <c r="U100" s="12"/>
    </row>
    <row r="101">
      <c r="A101" s="16"/>
      <c r="B101" s="22" t="s">
        <v>371</v>
      </c>
      <c r="C101" s="28"/>
      <c r="D101" s="28" t="n">
        <v>67153</v>
      </c>
      <c r="E101" s="28"/>
      <c r="F101" s="28"/>
      <c r="G101" s="28"/>
      <c r="H101" s="24"/>
      <c r="I101" s="25"/>
      <c r="J101" s="28"/>
      <c r="K101" s="23" t="n">
        <v>373786</v>
      </c>
      <c r="L101" s="24"/>
      <c r="M101" s="30"/>
      <c r="N101" s="12"/>
      <c r="O101" s="12"/>
      <c r="P101" s="12"/>
      <c r="Q101" s="12"/>
      <c r="R101" s="12"/>
      <c r="S101" s="12"/>
      <c r="T101" s="12"/>
      <c r="U101" s="12"/>
    </row>
    <row r="102">
      <c r="A102" s="16"/>
      <c r="B102" s="22"/>
      <c r="C102" s="31" t="s">
        <v>372</v>
      </c>
      <c r="D102" s="29" t="s">
        <v>373</v>
      </c>
      <c r="E102" s="29" t="s">
        <v>374</v>
      </c>
      <c r="F102" s="29" t="s">
        <v>375</v>
      </c>
      <c r="G102" s="29" t="s">
        <v>376</v>
      </c>
      <c r="H102" s="31" t="s">
        <v>377</v>
      </c>
      <c r="I102" s="29" t="s">
        <v>378</v>
      </c>
      <c r="J102" s="29" t="s">
        <v>379</v>
      </c>
      <c r="K102" s="29" t="s">
        <v>380</v>
      </c>
      <c r="L102" s="32" t="s">
        <v>381</v>
      </c>
      <c r="M102" s="30"/>
      <c r="N102" s="12"/>
      <c r="O102" s="12"/>
      <c r="P102" s="12"/>
      <c r="Q102" s="12"/>
      <c r="R102" s="12"/>
      <c r="S102" s="12"/>
      <c r="T102" s="12"/>
      <c r="U102" s="12"/>
    </row>
    <row r="103">
      <c r="A103" s="17" t="s">
        <v>382</v>
      </c>
      <c r="B103" s="22" t="s">
        <v>383</v>
      </c>
      <c r="C103" s="25" t="n">
        <v>1.2</v>
      </c>
      <c r="D103" s="23" t="n">
        <v>39017</v>
      </c>
      <c r="E103" s="23" t="n">
        <v>8.5</v>
      </c>
      <c r="F103" s="23" t="n">
        <v>29.04</v>
      </c>
      <c r="G103" s="23" t="n">
        <v>157161</v>
      </c>
      <c r="H103" s="25"/>
      <c r="I103" s="24" t="n">
        <v>28604</v>
      </c>
      <c r="J103" s="28" t="n">
        <v>82975</v>
      </c>
      <c r="K103" s="23" t="n">
        <v>33143</v>
      </c>
      <c r="L103" s="24"/>
      <c r="M103" s="30"/>
      <c r="N103" s="12"/>
      <c r="O103" s="12"/>
      <c r="P103" s="12"/>
      <c r="Q103" s="12"/>
      <c r="R103" s="12"/>
      <c r="S103" s="12"/>
      <c r="T103" s="12"/>
      <c r="U103" s="12"/>
    </row>
    <row r="104">
      <c r="A104" s="16"/>
      <c r="B104" s="22" t="s">
        <v>384</v>
      </c>
      <c r="C104" s="23" t="n">
        <v>1616205</v>
      </c>
      <c r="D104" s="23" t="n">
        <v>67153</v>
      </c>
      <c r="E104" s="23" t="n">
        <v>109519</v>
      </c>
      <c r="F104" s="23" t="n">
        <v>30.17</v>
      </c>
      <c r="G104" s="23" t="n">
        <v>17.4</v>
      </c>
      <c r="H104" s="24"/>
      <c r="I104" s="25" t="n">
        <v>100.3</v>
      </c>
      <c r="J104" s="28" t="n">
        <v>155710</v>
      </c>
      <c r="K104" s="23" t="n">
        <v>373748</v>
      </c>
      <c r="L104" s="24"/>
      <c r="M104" s="30"/>
      <c r="N104" s="12"/>
      <c r="O104" s="12"/>
      <c r="P104" s="12"/>
      <c r="Q104" s="12"/>
      <c r="R104" s="12"/>
      <c r="S104" s="12"/>
      <c r="T104" s="12"/>
      <c r="U104" s="12"/>
    </row>
    <row r="105">
      <c r="A105" s="16"/>
      <c r="B105" s="22"/>
      <c r="C105" s="29" t="s">
        <v>385</v>
      </c>
      <c r="D105" s="29" t="s">
        <v>386</v>
      </c>
      <c r="E105" s="29" t="s">
        <v>387</v>
      </c>
      <c r="F105" s="29" t="s">
        <v>388</v>
      </c>
      <c r="G105" s="29" t="s">
        <v>389</v>
      </c>
      <c r="H105" s="29" t="s">
        <v>390</v>
      </c>
      <c r="I105" s="29" t="s">
        <v>391</v>
      </c>
      <c r="J105" s="29" t="s">
        <v>392</v>
      </c>
      <c r="K105" s="29" t="s">
        <v>393</v>
      </c>
      <c r="L105" s="29" t="s">
        <v>394</v>
      </c>
      <c r="M105" s="30"/>
      <c r="N105" s="12"/>
      <c r="O105" s="12"/>
      <c r="P105" s="12"/>
      <c r="Q105" s="12"/>
      <c r="R105" s="12"/>
      <c r="S105" s="12"/>
      <c r="T105" s="12"/>
      <c r="U105" s="12"/>
    </row>
    <row r="106">
      <c r="A106" s="17" t="s">
        <v>395</v>
      </c>
      <c r="B106" s="22" t="s">
        <v>396</v>
      </c>
      <c r="C106" s="24"/>
      <c r="D106" s="23" t="n">
        <v>39186</v>
      </c>
      <c r="E106" s="23" t="n">
        <v>9.4</v>
      </c>
      <c r="F106" s="23" t="n">
        <v>27.35</v>
      </c>
      <c r="G106" s="23" t="n">
        <v>142000</v>
      </c>
      <c r="H106" s="24" t="n">
        <v>16444</v>
      </c>
      <c r="I106" s="24" t="n">
        <v>29494</v>
      </c>
      <c r="J106" s="23" t="n">
        <v>40577</v>
      </c>
      <c r="K106" s="23" t="n">
        <v>24229</v>
      </c>
      <c r="L106" s="24"/>
      <c r="M106" s="30"/>
      <c r="N106" s="12"/>
      <c r="O106" s="12"/>
      <c r="P106" s="12"/>
      <c r="Q106" s="12"/>
      <c r="R106" s="12"/>
      <c r="S106" s="12"/>
      <c r="T106" s="12"/>
      <c r="U106" s="12"/>
    </row>
    <row r="107">
      <c r="A107" s="16"/>
      <c r="B107" s="22" t="s">
        <v>397</v>
      </c>
      <c r="C107" s="28"/>
      <c r="D107" s="23" t="n">
        <v>67118</v>
      </c>
      <c r="E107" s="23" t="n">
        <v>109401</v>
      </c>
      <c r="F107" s="23" t="n">
        <v>30.13</v>
      </c>
      <c r="G107" s="23" t="n">
        <v>17.4</v>
      </c>
      <c r="H107" s="24" t="n">
        <v>219728</v>
      </c>
      <c r="I107" s="25" t="n">
        <v>100.3</v>
      </c>
      <c r="J107" s="23" t="n">
        <v>155559</v>
      </c>
      <c r="K107" s="23" t="n">
        <v>373677</v>
      </c>
      <c r="L107" s="24"/>
      <c r="M107" s="30"/>
      <c r="N107" s="12"/>
      <c r="O107" s="12"/>
      <c r="P107" s="12"/>
      <c r="Q107" s="12"/>
      <c r="R107" s="12"/>
      <c r="S107" s="12"/>
      <c r="T107" s="12"/>
      <c r="U107" s="12"/>
    </row>
    <row r="108">
      <c r="A108" s="16"/>
      <c r="B108" s="22"/>
      <c r="C108" s="29" t="s">
        <v>398</v>
      </c>
      <c r="D108" s="29" t="s">
        <v>399</v>
      </c>
      <c r="E108" s="29" t="s">
        <v>400</v>
      </c>
      <c r="F108" s="29" t="s">
        <v>401</v>
      </c>
      <c r="G108" s="29" t="s">
        <v>402</v>
      </c>
      <c r="H108" s="29" t="s">
        <v>403</v>
      </c>
      <c r="I108" s="29" t="s">
        <v>404</v>
      </c>
      <c r="J108" s="29" t="s">
        <v>405</v>
      </c>
      <c r="K108" s="29" t="s">
        <v>406</v>
      </c>
      <c r="L108" s="29" t="s">
        <v>407</v>
      </c>
      <c r="M108" s="30"/>
      <c r="N108" s="12"/>
      <c r="O108" s="12"/>
      <c r="P108" s="12"/>
      <c r="Q108" s="12"/>
      <c r="R108" s="12"/>
      <c r="S108" s="12"/>
      <c r="T108" s="12"/>
      <c r="U108" s="12"/>
    </row>
    <row r="109">
      <c r="A109" s="17" t="s">
        <v>408</v>
      </c>
      <c r="B109" s="22" t="s">
        <v>409</v>
      </c>
      <c r="C109" s="24"/>
      <c r="D109" s="23" t="n">
        <v>49797</v>
      </c>
      <c r="E109" s="23" t="n">
        <v>3.7</v>
      </c>
      <c r="F109" s="23" t="n">
        <v>68.66</v>
      </c>
      <c r="G109" s="23" t="n">
        <v>296000</v>
      </c>
      <c r="H109" s="24"/>
      <c r="I109" s="24" t="n">
        <v>36871</v>
      </c>
      <c r="J109" s="23" t="n">
        <v>115595</v>
      </c>
      <c r="K109" s="23" t="n">
        <v>100618</v>
      </c>
      <c r="L109" s="24"/>
      <c r="M109" s="30"/>
      <c r="N109" s="12"/>
      <c r="O109" s="12"/>
      <c r="P109" s="12"/>
      <c r="Q109" s="12"/>
      <c r="R109" s="12"/>
      <c r="S109" s="12"/>
      <c r="T109" s="12"/>
      <c r="U109" s="12"/>
    </row>
    <row r="110">
      <c r="A110" s="16"/>
      <c r="B110" s="22" t="s">
        <v>410</v>
      </c>
      <c r="C110" s="28"/>
      <c r="D110" s="23" t="n">
        <v>67107</v>
      </c>
      <c r="E110" s="23" t="n">
        <v>109213</v>
      </c>
      <c r="F110" s="23" t="n">
        <v>30.12</v>
      </c>
      <c r="G110" s="23" t="n">
        <v>17.4</v>
      </c>
      <c r="H110" s="24"/>
      <c r="I110" s="25" t="n">
        <v>100.3</v>
      </c>
      <c r="J110" s="23" t="n">
        <v>155442</v>
      </c>
      <c r="K110" s="23" t="n">
        <v>373621</v>
      </c>
      <c r="L110" s="24"/>
      <c r="M110" s="30"/>
      <c r="N110" s="12"/>
      <c r="O110" s="12"/>
      <c r="P110" s="12"/>
      <c r="Q110" s="12"/>
      <c r="R110" s="12"/>
      <c r="S110" s="12"/>
      <c r="T110" s="12"/>
      <c r="U110" s="12"/>
    </row>
    <row r="111">
      <c r="A111" s="16"/>
      <c r="B111" s="22"/>
      <c r="C111" s="29" t="s">
        <v>411</v>
      </c>
      <c r="D111" s="29" t="s">
        <v>412</v>
      </c>
      <c r="E111" s="29" t="s">
        <v>413</v>
      </c>
      <c r="F111" s="29" t="s">
        <v>414</v>
      </c>
      <c r="G111" s="29" t="s">
        <v>415</v>
      </c>
      <c r="H111" s="29" t="s">
        <v>416</v>
      </c>
      <c r="I111" s="29" t="s">
        <v>417</v>
      </c>
      <c r="J111" s="29" t="s">
        <v>418</v>
      </c>
      <c r="K111" s="29" t="s">
        <v>419</v>
      </c>
      <c r="L111" s="29" t="s">
        <v>420</v>
      </c>
      <c r="M111" s="30"/>
      <c r="N111" s="12"/>
      <c r="O111" s="12"/>
      <c r="P111" s="12"/>
      <c r="Q111" s="12"/>
      <c r="R111" s="12"/>
      <c r="S111" s="12"/>
      <c r="T111" s="12"/>
      <c r="U111" s="12"/>
    </row>
    <row r="112">
      <c r="A112" s="17" t="s">
        <v>421</v>
      </c>
      <c r="B112" s="22" t="s">
        <v>422</v>
      </c>
      <c r="C112" s="24"/>
      <c r="D112" s="23" t="n">
        <v>75717</v>
      </c>
      <c r="E112" s="23" t="n">
        <v>144362</v>
      </c>
      <c r="F112" s="23" t="n">
        <v>21.15</v>
      </c>
      <c r="G112" s="23" t="n">
        <v>63540</v>
      </c>
      <c r="H112" s="24"/>
      <c r="I112" s="24" t="n">
        <v>69851</v>
      </c>
      <c r="J112" s="23" t="n">
        <v>53975</v>
      </c>
      <c r="K112" s="23" t="n">
        <v>32104</v>
      </c>
      <c r="L112" s="24"/>
      <c r="M112" s="30"/>
      <c r="N112" s="12"/>
      <c r="O112" s="12"/>
      <c r="P112" s="12"/>
      <c r="Q112" s="12"/>
      <c r="R112" s="12"/>
      <c r="S112" s="12"/>
      <c r="T112" s="12"/>
      <c r="U112" s="12"/>
    </row>
    <row r="113">
      <c r="A113" s="16"/>
      <c r="B113" s="22" t="s">
        <v>423</v>
      </c>
      <c r="C113" s="28"/>
      <c r="D113" s="23" t="n">
        <v>67061</v>
      </c>
      <c r="E113" s="23"/>
      <c r="F113" s="23"/>
      <c r="G113" s="23"/>
      <c r="H113" s="24"/>
      <c r="I113" s="25"/>
      <c r="J113" s="23"/>
      <c r="K113" s="23" t="n">
        <v>373588</v>
      </c>
      <c r="L113" s="24"/>
      <c r="M113" s="30"/>
      <c r="N113" s="12"/>
      <c r="O113" s="12"/>
      <c r="P113" s="12"/>
      <c r="Q113" s="12"/>
      <c r="R113" s="12"/>
      <c r="S113" s="12"/>
      <c r="T113" s="12"/>
      <c r="U113" s="12"/>
    </row>
    <row r="114">
      <c r="A114" s="16"/>
      <c r="B114" s="22"/>
      <c r="C114" s="29" t="s">
        <v>424</v>
      </c>
      <c r="D114" s="29" t="s">
        <v>425</v>
      </c>
      <c r="E114" s="29" t="s">
        <v>426</v>
      </c>
      <c r="F114" s="29" t="s">
        <v>427</v>
      </c>
      <c r="G114" s="29" t="s">
        <v>428</v>
      </c>
      <c r="H114" s="29" t="s">
        <v>429</v>
      </c>
      <c r="I114" s="29" t="s">
        <v>430</v>
      </c>
      <c r="J114" s="29" t="s">
        <v>431</v>
      </c>
      <c r="K114" s="29" t="s">
        <v>432</v>
      </c>
      <c r="L114" s="29" t="s">
        <v>433</v>
      </c>
      <c r="M114" s="33"/>
      <c r="N114" s="12"/>
      <c r="O114" s="12"/>
      <c r="P114" s="12"/>
      <c r="Q114" s="12"/>
      <c r="R114" s="12"/>
      <c r="S114" s="12"/>
      <c r="T114" s="12"/>
      <c r="U114" s="12"/>
    </row>
    <row r="115">
      <c r="A115" s="17" t="s">
        <v>434</v>
      </c>
      <c r="B115" s="22" t="s">
        <v>435</v>
      </c>
      <c r="C115" s="24"/>
      <c r="D115" s="23" t="n">
        <v>103108</v>
      </c>
      <c r="E115" s="23" t="n">
        <v>7.2</v>
      </c>
      <c r="F115" s="23" t="n">
        <v>31.35</v>
      </c>
      <c r="G115" s="23" t="n">
        <v>120491</v>
      </c>
      <c r="H115" s="24" t="n">
        <v>38040</v>
      </c>
      <c r="I115" s="24" t="n">
        <v>67647</v>
      </c>
      <c r="J115" s="23" t="n">
        <v>159319</v>
      </c>
      <c r="K115" s="23" t="n">
        <v>164714</v>
      </c>
      <c r="L115" s="24"/>
      <c r="M115" s="33"/>
      <c r="N115" s="12"/>
      <c r="O115" s="12"/>
      <c r="P115" s="12"/>
      <c r="Q115" s="12"/>
      <c r="R115" s="12"/>
      <c r="S115" s="12"/>
      <c r="T115" s="12"/>
      <c r="U115" s="12"/>
    </row>
    <row r="116">
      <c r="A116" s="16"/>
      <c r="B116" s="22" t="s">
        <v>436</v>
      </c>
      <c r="C116" s="28"/>
      <c r="D116" s="23" t="n">
        <v>67061</v>
      </c>
      <c r="E116" s="23" t="n">
        <v>108642</v>
      </c>
      <c r="F116" s="23" t="n">
        <v>300400</v>
      </c>
      <c r="G116" s="23" t="n">
        <v>17.3</v>
      </c>
      <c r="H116" s="24" t="n">
        <v>219742</v>
      </c>
      <c r="I116" s="25" t="n">
        <v>1002000</v>
      </c>
      <c r="J116" s="23" t="n">
        <v>155068</v>
      </c>
      <c r="K116" s="23" t="n">
        <v>373486</v>
      </c>
      <c r="L116" s="24"/>
      <c r="M116" s="33"/>
      <c r="N116" s="12"/>
      <c r="O116" s="12"/>
      <c r="P116" s="12"/>
      <c r="Q116" s="12"/>
      <c r="R116" s="12"/>
      <c r="S116" s="12"/>
      <c r="T116" s="12"/>
      <c r="U116" s="12"/>
    </row>
    <row r="117">
      <c r="A117" s="16"/>
      <c r="B117" s="22"/>
      <c r="C117" s="29" t="s">
        <v>437</v>
      </c>
      <c r="D117" s="29" t="s">
        <v>438</v>
      </c>
      <c r="E117" s="29" t="s">
        <v>439</v>
      </c>
      <c r="F117" s="29" t="s">
        <v>440</v>
      </c>
      <c r="G117" s="29" t="s">
        <v>441</v>
      </c>
      <c r="H117" s="29" t="s">
        <v>442</v>
      </c>
      <c r="I117" s="29" t="s">
        <v>443</v>
      </c>
      <c r="J117" s="29" t="s">
        <v>444</v>
      </c>
      <c r="K117" s="29" t="s">
        <v>445</v>
      </c>
      <c r="L117" s="29" t="s">
        <v>446</v>
      </c>
      <c r="M117" s="33"/>
      <c r="N117" s="12"/>
      <c r="O117" s="12"/>
      <c r="P117" s="12"/>
      <c r="Q117" s="12"/>
      <c r="R117" s="12"/>
      <c r="S117" s="12"/>
      <c r="T117" s="12"/>
      <c r="U117" s="12"/>
    </row>
    <row r="118">
      <c r="A118" s="17" t="s">
        <v>447</v>
      </c>
      <c r="B118" s="22" t="s">
        <v>448</v>
      </c>
      <c r="C118" s="24"/>
      <c r="D118" s="23" t="n">
        <v>232879</v>
      </c>
      <c r="E118" s="23" t="n">
        <v>5.6</v>
      </c>
      <c r="F118" s="23" t="n">
        <v>45.6</v>
      </c>
      <c r="G118" s="23" t="n">
        <v>162388</v>
      </c>
      <c r="H118" s="24"/>
      <c r="I118" s="24" t="n">
        <v>52226</v>
      </c>
      <c r="J118" s="23" t="n">
        <v>38887</v>
      </c>
      <c r="K118" s="23" t="n">
        <v>40743</v>
      </c>
      <c r="L118" s="24"/>
      <c r="M118" s="33"/>
      <c r="N118" s="12"/>
      <c r="O118" s="12"/>
      <c r="P118" s="12"/>
      <c r="Q118" s="12"/>
      <c r="R118" s="12"/>
      <c r="S118" s="12"/>
      <c r="T118" s="12"/>
      <c r="U118" s="12"/>
    </row>
    <row r="119">
      <c r="A119" s="16"/>
      <c r="B119" s="22" t="s">
        <v>449</v>
      </c>
      <c r="C119" s="28"/>
      <c r="D119" s="23" t="n">
        <v>66944</v>
      </c>
      <c r="E119" s="23" t="n">
        <v>108475</v>
      </c>
      <c r="F119" s="23" t="n">
        <v>30</v>
      </c>
      <c r="G119" s="23" t="n">
        <v>17.3</v>
      </c>
      <c r="H119" s="24"/>
      <c r="I119" s="24" t="n">
        <v>1000257</v>
      </c>
      <c r="J119" s="23" t="n">
        <v>154557</v>
      </c>
      <c r="K119" s="23" t="n">
        <v>373329</v>
      </c>
      <c r="L119" s="24"/>
      <c r="M119" s="33"/>
      <c r="N119" s="12"/>
      <c r="O119" s="12"/>
      <c r="P119" s="12"/>
      <c r="Q119" s="12"/>
      <c r="R119" s="12"/>
      <c r="S119" s="12"/>
      <c r="T119" s="12"/>
      <c r="U119" s="12"/>
    </row>
    <row r="120">
      <c r="A120" s="16"/>
      <c r="B120" s="22"/>
      <c r="C120" s="29" t="s">
        <v>450</v>
      </c>
      <c r="D120" s="29" t="s">
        <v>451</v>
      </c>
      <c r="E120" s="29" t="s">
        <v>452</v>
      </c>
      <c r="F120" s="29" t="s">
        <v>453</v>
      </c>
      <c r="G120" s="29" t="s">
        <v>454</v>
      </c>
      <c r="H120" s="29" t="s">
        <v>455</v>
      </c>
      <c r="I120" s="29" t="s">
        <v>456</v>
      </c>
      <c r="J120" s="29" t="s">
        <v>457</v>
      </c>
      <c r="K120" s="29" t="s">
        <v>458</v>
      </c>
      <c r="L120" s="29" t="s">
        <v>459</v>
      </c>
      <c r="M120" s="33"/>
      <c r="N120" s="12"/>
      <c r="O120" s="12"/>
      <c r="P120" s="12"/>
      <c r="Q120" s="12"/>
      <c r="R120" s="12"/>
      <c r="S120" s="12"/>
      <c r="T120" s="12"/>
      <c r="U120" s="12"/>
    </row>
    <row r="121">
      <c r="A121" s="17" t="s">
        <v>460</v>
      </c>
      <c r="B121" s="22" t="s">
        <v>461</v>
      </c>
      <c r="C121" s="24"/>
      <c r="D121" s="23" t="n">
        <v>62791</v>
      </c>
      <c r="E121" s="23" t="n">
        <v>89136</v>
      </c>
      <c r="F121" s="23" t="n">
        <v>39.1</v>
      </c>
      <c r="G121" s="23" t="n">
        <v>157161</v>
      </c>
      <c r="H121" s="24"/>
      <c r="I121" s="24" t="n">
        <v>65916</v>
      </c>
      <c r="J121" s="23" t="n">
        <v>55622</v>
      </c>
      <c r="K121" s="23"/>
      <c r="L121" s="24"/>
      <c r="M121" s="33"/>
      <c r="N121" s="12"/>
      <c r="O121" s="12"/>
      <c r="P121" s="12"/>
      <c r="Q121" s="12"/>
      <c r="R121" s="12"/>
      <c r="S121" s="12"/>
      <c r="T121" s="12"/>
      <c r="U121" s="12"/>
    </row>
    <row r="122">
      <c r="A122" s="16"/>
      <c r="B122" s="22" t="s">
        <v>462</v>
      </c>
      <c r="C122" s="28"/>
      <c r="D122" s="23" t="n">
        <v>65768</v>
      </c>
      <c r="E122" s="23"/>
      <c r="F122" s="23"/>
      <c r="G122" s="23"/>
      <c r="H122" s="24"/>
      <c r="I122" s="24"/>
      <c r="J122" s="23"/>
      <c r="K122" s="23"/>
      <c r="L122" s="24"/>
      <c r="M122" s="33"/>
      <c r="N122" s="12"/>
      <c r="O122" s="12"/>
      <c r="P122" s="12"/>
      <c r="Q122" s="12"/>
      <c r="R122" s="12"/>
      <c r="S122" s="12"/>
      <c r="T122" s="12"/>
      <c r="U122" s="12"/>
    </row>
    <row r="123">
      <c r="A123" s="16"/>
      <c r="B123" s="22"/>
      <c r="C123" s="29" t="s">
        <v>463</v>
      </c>
      <c r="D123" s="29" t="s">
        <v>464</v>
      </c>
      <c r="E123" s="29" t="s">
        <v>465</v>
      </c>
      <c r="F123" s="29" t="s">
        <v>466</v>
      </c>
      <c r="G123" s="29" t="s">
        <v>467</v>
      </c>
      <c r="H123" s="29" t="s">
        <v>468</v>
      </c>
      <c r="I123" s="29" t="s">
        <v>469</v>
      </c>
      <c r="J123" s="29" t="s">
        <v>470</v>
      </c>
      <c r="K123" s="29" t="s">
        <v>471</v>
      </c>
      <c r="L123" s="29" t="s">
        <v>472</v>
      </c>
      <c r="M123" s="33"/>
      <c r="N123" s="12"/>
      <c r="O123" s="12"/>
      <c r="P123" s="12"/>
      <c r="Q123" s="12"/>
      <c r="R123" s="12"/>
      <c r="S123" s="12"/>
      <c r="T123" s="12"/>
      <c r="U123" s="12"/>
    </row>
    <row r="124">
      <c r="A124" s="17" t="s">
        <v>473</v>
      </c>
      <c r="B124" s="22" t="s">
        <v>474</v>
      </c>
      <c r="C124" s="24"/>
      <c r="D124" s="23" t="n">
        <v>168097</v>
      </c>
      <c r="E124" s="23" t="n">
        <v>15.7</v>
      </c>
      <c r="F124" s="23" t="n">
        <v>48.32</v>
      </c>
      <c r="G124" s="23" t="n">
        <v>380189</v>
      </c>
      <c r="H124" s="24" t="n">
        <v>42347</v>
      </c>
      <c r="I124" s="24" t="n">
        <v>67604</v>
      </c>
      <c r="J124" s="23" t="n">
        <v>324842</v>
      </c>
      <c r="K124" s="23" t="n">
        <v>316917</v>
      </c>
      <c r="L124" s="24"/>
      <c r="M124" s="33"/>
      <c r="N124" s="12"/>
      <c r="O124" s="12"/>
      <c r="P124" s="12"/>
      <c r="Q124" s="12"/>
      <c r="R124" s="12"/>
      <c r="S124" s="12"/>
      <c r="T124" s="12"/>
      <c r="U124" s="12"/>
    </row>
    <row r="125">
      <c r="A125" s="16"/>
      <c r="B125" s="22" t="s">
        <v>475</v>
      </c>
      <c r="C125" s="28"/>
      <c r="D125" s="23" t="n">
        <v>65768</v>
      </c>
      <c r="E125" s="23" t="n">
        <v>107939</v>
      </c>
      <c r="F125" s="23" t="n">
        <v>29.97</v>
      </c>
      <c r="G125" s="23" t="n">
        <v>17</v>
      </c>
      <c r="H125" s="24" t="n">
        <v>218185</v>
      </c>
      <c r="I125" s="24" t="s">
        <v>476</v>
      </c>
      <c r="J125" s="23" t="n">
        <v>151817</v>
      </c>
      <c r="K125" s="23" t="n">
        <v>372979</v>
      </c>
      <c r="L125" s="24"/>
      <c r="M125" s="33"/>
      <c r="N125" s="12"/>
      <c r="O125" s="12"/>
      <c r="P125" s="12"/>
      <c r="Q125" s="12"/>
      <c r="R125" s="12"/>
      <c r="S125" s="12"/>
      <c r="T125" s="12"/>
      <c r="U125" s="12"/>
    </row>
    <row r="126">
      <c r="A126" s="16"/>
      <c r="B126" s="22"/>
      <c r="C126" s="29" t="s">
        <v>477</v>
      </c>
      <c r="D126" s="29" t="s">
        <v>478</v>
      </c>
      <c r="E126" s="29" t="s">
        <v>479</v>
      </c>
      <c r="F126" s="29" t="s">
        <v>480</v>
      </c>
      <c r="G126" s="29" t="s">
        <v>481</v>
      </c>
      <c r="H126" s="29" t="s">
        <v>482</v>
      </c>
      <c r="I126" s="29" t="s">
        <v>483</v>
      </c>
      <c r="J126" s="29" t="s">
        <v>484</v>
      </c>
      <c r="K126" s="29" t="s">
        <v>485</v>
      </c>
      <c r="L126" s="29" t="s">
        <v>486</v>
      </c>
      <c r="M126" s="33"/>
      <c r="N126" s="12"/>
      <c r="O126" s="12"/>
      <c r="P126" s="12"/>
      <c r="Q126" s="12"/>
      <c r="R126" s="12"/>
      <c r="S126" s="12"/>
      <c r="T126" s="12"/>
      <c r="U126" s="12"/>
    </row>
    <row r="127">
      <c r="A127" s="17" t="s">
        <v>487</v>
      </c>
      <c r="B127" s="22" t="s">
        <v>488</v>
      </c>
      <c r="C127" s="24"/>
      <c r="D127" s="23" t="n">
        <v>326378</v>
      </c>
      <c r="E127" s="23" t="n">
        <v>18.6</v>
      </c>
      <c r="F127" s="23" t="n">
        <v>29.44</v>
      </c>
      <c r="G127" s="23" t="n">
        <v>190860</v>
      </c>
      <c r="H127" s="24" t="n">
        <v>42124</v>
      </c>
      <c r="I127" s="24" t="n">
        <v>61130</v>
      </c>
      <c r="J127" s="23" t="n">
        <v>104586</v>
      </c>
      <c r="K127" s="23" t="n">
        <v>51623</v>
      </c>
      <c r="L127" s="24"/>
      <c r="M127" s="33"/>
      <c r="N127" s="12"/>
      <c r="O127" s="12"/>
      <c r="P127" s="12"/>
      <c r="Q127" s="12"/>
      <c r="R127" s="12"/>
      <c r="S127" s="12"/>
      <c r="T127" s="12"/>
      <c r="U127" s="12"/>
    </row>
    <row r="128">
      <c r="A128" s="16"/>
      <c r="B128" s="22" t="s">
        <v>489</v>
      </c>
      <c r="C128" s="28"/>
      <c r="D128" s="23" t="n">
        <v>65238</v>
      </c>
      <c r="E128" s="23" t="n">
        <v>107441</v>
      </c>
      <c r="F128" s="23" t="n">
        <v>29.93</v>
      </c>
      <c r="G128" s="23" t="n">
        <v>16.6</v>
      </c>
      <c r="H128" s="24" t="n">
        <v>218183</v>
      </c>
      <c r="I128" s="24" t="n">
        <v>999475</v>
      </c>
      <c r="J128" s="23" t="n">
        <v>3358</v>
      </c>
      <c r="K128" s="23" t="n">
        <v>372320</v>
      </c>
      <c r="L128" s="24"/>
      <c r="M128" s="33"/>
      <c r="N128" s="12"/>
      <c r="O128" s="12"/>
      <c r="P128" s="12"/>
      <c r="Q128" s="12"/>
      <c r="R128" s="12"/>
      <c r="S128" s="12"/>
      <c r="T128" s="12"/>
      <c r="U128" s="12"/>
    </row>
    <row r="129">
      <c r="A129" s="16"/>
      <c r="B129" s="22"/>
      <c r="C129" s="29" t="s">
        <v>490</v>
      </c>
      <c r="D129" s="29" t="s">
        <v>491</v>
      </c>
      <c r="E129" s="29" t="s">
        <v>492</v>
      </c>
      <c r="F129" s="29" t="s">
        <v>493</v>
      </c>
      <c r="G129" s="29" t="s">
        <v>494</v>
      </c>
      <c r="H129" s="29" t="s">
        <v>495</v>
      </c>
      <c r="I129" s="29" t="s">
        <v>496</v>
      </c>
      <c r="J129" s="29" t="s">
        <v>497</v>
      </c>
      <c r="K129" s="29" t="s">
        <v>498</v>
      </c>
      <c r="L129" s="29" t="s">
        <v>499</v>
      </c>
      <c r="M129" s="33"/>
      <c r="N129" s="12"/>
      <c r="O129" s="12"/>
      <c r="P129" s="12"/>
      <c r="Q129" s="12"/>
      <c r="R129" s="12"/>
      <c r="S129" s="12"/>
      <c r="T129" s="12"/>
      <c r="U129" s="12"/>
    </row>
    <row r="130">
      <c r="A130" s="17" t="s">
        <v>500</v>
      </c>
      <c r="B130" s="22" t="s">
        <v>501</v>
      </c>
      <c r="C130" s="24"/>
      <c r="D130" s="28" t="n">
        <v>193951</v>
      </c>
      <c r="E130" s="28" t="n">
        <v>19.9</v>
      </c>
      <c r="F130" s="28" t="n">
        <v>35.12</v>
      </c>
      <c r="G130" s="28" t="n">
        <v>200109</v>
      </c>
      <c r="H130" s="28" t="n">
        <v>37657</v>
      </c>
      <c r="I130" s="28" t="n">
        <v>86123</v>
      </c>
      <c r="J130" s="28" t="n">
        <v>99470</v>
      </c>
      <c r="K130" s="28" t="n">
        <v>33915</v>
      </c>
      <c r="L130" s="24"/>
      <c r="M130" s="33"/>
      <c r="N130" s="12"/>
      <c r="O130" s="12"/>
      <c r="P130" s="12"/>
      <c r="Q130" s="12"/>
      <c r="R130" s="12"/>
      <c r="S130" s="12"/>
      <c r="T130" s="12"/>
      <c r="U130" s="12"/>
    </row>
    <row r="131">
      <c r="A131" s="16"/>
      <c r="B131" s="22" t="s">
        <v>502</v>
      </c>
      <c r="C131" s="28"/>
      <c r="D131" s="28" t="n">
        <v>64587</v>
      </c>
      <c r="E131" s="28" t="n">
        <v>106655</v>
      </c>
      <c r="F131" s="28" t="n">
        <v>29.9</v>
      </c>
      <c r="G131" s="28" t="n">
        <v>16.5</v>
      </c>
      <c r="H131" s="28" t="n">
        <v>217782</v>
      </c>
      <c r="I131" s="28" t="n">
        <v>997596</v>
      </c>
      <c r="J131" s="28" t="n">
        <v>147191</v>
      </c>
      <c r="K131" s="28" t="n">
        <v>372163</v>
      </c>
      <c r="L131" s="24"/>
      <c r="M131" s="33"/>
      <c r="N131" s="12"/>
      <c r="O131" s="12"/>
      <c r="P131" s="12"/>
      <c r="Q131" s="12"/>
      <c r="R131" s="12"/>
      <c r="S131" s="12"/>
      <c r="T131" s="12"/>
      <c r="U131" s="12"/>
    </row>
    <row r="132">
      <c r="A132" s="16"/>
      <c r="B132" s="22"/>
      <c r="C132" s="29" t="s">
        <v>503</v>
      </c>
      <c r="D132" s="29" t="s">
        <v>504</v>
      </c>
      <c r="E132" s="29" t="s">
        <v>505</v>
      </c>
      <c r="F132" s="29" t="s">
        <v>506</v>
      </c>
      <c r="G132" s="29" t="s">
        <v>507</v>
      </c>
      <c r="H132" s="29" t="s">
        <v>508</v>
      </c>
      <c r="I132" s="29" t="s">
        <v>509</v>
      </c>
      <c r="J132" s="29" t="s">
        <v>510</v>
      </c>
      <c r="K132" s="29" t="s">
        <v>511</v>
      </c>
      <c r="L132" s="29" t="s">
        <v>512</v>
      </c>
      <c r="M132" s="33"/>
      <c r="N132" s="12"/>
      <c r="O132" s="12"/>
      <c r="P132" s="12"/>
      <c r="Q132" s="12"/>
      <c r="R132" s="12"/>
      <c r="S132" s="12"/>
      <c r="T132" s="12"/>
      <c r="U132" s="12"/>
    </row>
    <row r="133">
      <c r="A133" s="17" t="s">
        <v>513</v>
      </c>
      <c r="B133" s="22" t="s">
        <v>514</v>
      </c>
      <c r="C133" s="24"/>
      <c r="D133" s="23" t="n">
        <v>179554</v>
      </c>
      <c r="E133" s="23" t="n">
        <v>19388</v>
      </c>
      <c r="F133" s="23" t="n">
        <v>42.31</v>
      </c>
      <c r="G133" s="23" t="n">
        <v>132052</v>
      </c>
      <c r="H133" s="24"/>
      <c r="I133" s="24" t="n">
        <v>63716</v>
      </c>
      <c r="J133" s="23" t="n">
        <v>235622</v>
      </c>
      <c r="K133" s="23"/>
      <c r="L133" s="24"/>
      <c r="M133" s="33"/>
      <c r="N133" s="12"/>
      <c r="O133" s="12"/>
      <c r="P133" s="12"/>
      <c r="Q133" s="12"/>
      <c r="R133" s="12"/>
      <c r="S133" s="12"/>
      <c r="T133" s="12"/>
      <c r="U133" s="12"/>
    </row>
    <row r="134">
      <c r="A134" s="16"/>
      <c r="B134" s="22" t="s">
        <v>515</v>
      </c>
      <c r="C134" s="28"/>
      <c r="D134" s="24" t="n">
        <v>63085</v>
      </c>
      <c r="E134" s="23"/>
      <c r="F134" s="23"/>
      <c r="G134" s="23"/>
      <c r="H134" s="24"/>
      <c r="I134" s="24"/>
      <c r="J134" s="23"/>
      <c r="K134" s="23"/>
      <c r="L134" s="24"/>
      <c r="M134" s="33"/>
      <c r="N134" s="12"/>
      <c r="O134" s="12"/>
      <c r="P134" s="12"/>
      <c r="Q134" s="12"/>
      <c r="R134" s="12"/>
      <c r="S134" s="12"/>
      <c r="T134" s="12"/>
      <c r="U134" s="12"/>
    </row>
    <row r="135">
      <c r="A135" s="16"/>
      <c r="B135" s="22"/>
      <c r="C135" s="29" t="s">
        <v>516</v>
      </c>
      <c r="D135" s="29" t="s">
        <v>517</v>
      </c>
      <c r="E135" s="29" t="s">
        <v>518</v>
      </c>
      <c r="F135" s="29" t="s">
        <v>519</v>
      </c>
      <c r="G135" s="29" t="s">
        <v>520</v>
      </c>
      <c r="H135" s="29" t="s">
        <v>521</v>
      </c>
      <c r="I135" s="29" t="s">
        <v>522</v>
      </c>
      <c r="J135" s="29" t="s">
        <v>523</v>
      </c>
      <c r="K135" s="29" t="s">
        <v>524</v>
      </c>
      <c r="L135" s="29" t="s">
        <v>525</v>
      </c>
      <c r="M135" s="33"/>
      <c r="N135" s="12"/>
      <c r="O135" s="12"/>
      <c r="P135" s="12"/>
      <c r="Q135" s="12"/>
      <c r="R135" s="12"/>
      <c r="S135" s="12"/>
      <c r="T135" s="12"/>
      <c r="U135" s="12"/>
    </row>
    <row r="136">
      <c r="A136" s="17" t="s">
        <v>526</v>
      </c>
      <c r="B136" s="22" t="s">
        <v>527</v>
      </c>
      <c r="C136" s="24"/>
      <c r="D136" s="24" t="n">
        <v>42017</v>
      </c>
      <c r="E136" s="23" t="n">
        <v>187798</v>
      </c>
      <c r="F136" s="23" t="n">
        <v>30.1</v>
      </c>
      <c r="G136" s="23" t="n">
        <v>157161</v>
      </c>
      <c r="H136" s="24"/>
      <c r="I136" s="24" t="n">
        <v>45871</v>
      </c>
      <c r="J136" s="28" t="n">
        <v>37657</v>
      </c>
      <c r="K136" s="23"/>
      <c r="L136" s="24"/>
      <c r="M136" s="33"/>
      <c r="N136" s="12"/>
      <c r="O136" s="12"/>
      <c r="P136" s="12"/>
      <c r="Q136" s="12"/>
      <c r="R136" s="12"/>
      <c r="S136" s="12"/>
      <c r="T136" s="12"/>
      <c r="U136" s="12"/>
    </row>
    <row r="137">
      <c r="A137" s="16"/>
      <c r="B137" s="22" t="s">
        <v>528</v>
      </c>
      <c r="C137" s="28"/>
      <c r="D137" s="24" t="n">
        <v>63085</v>
      </c>
      <c r="E137" s="23"/>
      <c r="F137" s="23"/>
      <c r="G137" s="23"/>
      <c r="H137" s="24"/>
      <c r="I137" s="24"/>
      <c r="J137" s="23"/>
      <c r="K137" s="23"/>
      <c r="L137" s="24"/>
      <c r="M137" s="33"/>
      <c r="N137" s="12"/>
      <c r="O137" s="12"/>
      <c r="P137" s="12"/>
      <c r="Q137" s="12"/>
      <c r="R137" s="12"/>
      <c r="S137" s="12"/>
      <c r="T137" s="12"/>
      <c r="U137" s="12"/>
    </row>
    <row r="138">
      <c r="A138" s="16"/>
      <c r="B138" s="22"/>
      <c r="C138" s="29" t="s">
        <v>529</v>
      </c>
      <c r="D138" s="29" t="s">
        <v>530</v>
      </c>
      <c r="E138" s="29" t="s">
        <v>531</v>
      </c>
      <c r="F138" s="29" t="s">
        <v>532</v>
      </c>
      <c r="G138" s="29" t="s">
        <v>533</v>
      </c>
      <c r="H138" s="29" t="s">
        <v>534</v>
      </c>
      <c r="I138" s="29" t="s">
        <v>535</v>
      </c>
      <c r="J138" s="29" t="s">
        <v>536</v>
      </c>
      <c r="K138" s="29" t="s">
        <v>537</v>
      </c>
      <c r="L138" s="29" t="s">
        <v>538</v>
      </c>
      <c r="M138" s="33"/>
      <c r="N138" s="12"/>
      <c r="O138" s="12"/>
      <c r="P138" s="12"/>
      <c r="Q138" s="12"/>
      <c r="R138" s="12"/>
      <c r="S138" s="12"/>
      <c r="T138" s="12"/>
      <c r="U138" s="12"/>
    </row>
    <row r="139">
      <c r="A139" s="17" t="s">
        <v>539</v>
      </c>
      <c r="B139" s="22" t="s">
        <v>540</v>
      </c>
      <c r="C139" s="24"/>
      <c r="D139" s="24" t="n">
        <v>87231</v>
      </c>
      <c r="E139" s="23" t="n">
        <v>175000</v>
      </c>
      <c r="F139" s="23" t="n">
        <v>40.3</v>
      </c>
      <c r="G139" s="23" t="n">
        <v>107052</v>
      </c>
      <c r="H139" s="24" t="n">
        <v>73358</v>
      </c>
      <c r="I139" s="24" t="n">
        <v>43873</v>
      </c>
      <c r="J139" s="23" t="n">
        <v>59122</v>
      </c>
      <c r="K139" s="23" t="n">
        <v>61793</v>
      </c>
      <c r="L139" s="24"/>
      <c r="M139" s="33"/>
      <c r="N139" s="12"/>
      <c r="O139" s="12"/>
      <c r="P139" s="12"/>
      <c r="Q139" s="12"/>
      <c r="R139" s="12"/>
      <c r="S139" s="12"/>
      <c r="T139" s="12"/>
      <c r="U139" s="12"/>
    </row>
    <row r="140">
      <c r="A140" s="16"/>
      <c r="B140" s="22" t="s">
        <v>541</v>
      </c>
      <c r="C140" s="28"/>
      <c r="D140" s="24" t="n">
        <v>63085</v>
      </c>
      <c r="E140" s="23" t="n">
        <v>105593</v>
      </c>
      <c r="F140" s="23" t="n">
        <v>298100</v>
      </c>
      <c r="G140" s="23" t="n">
        <v>16.3</v>
      </c>
      <c r="H140" s="24" t="n">
        <v>216420</v>
      </c>
      <c r="I140" s="24" t="n">
        <v>994041</v>
      </c>
      <c r="J140" s="23" t="n">
        <v>146010</v>
      </c>
      <c r="K140" s="23" t="n">
        <v>371918</v>
      </c>
      <c r="L140" s="24"/>
      <c r="M140" s="33"/>
      <c r="N140" s="12"/>
      <c r="O140" s="12"/>
      <c r="P140" s="12"/>
      <c r="Q140" s="12"/>
      <c r="R140" s="12"/>
      <c r="S140" s="12"/>
      <c r="T140" s="12"/>
      <c r="U140" s="12"/>
    </row>
    <row r="141">
      <c r="A141" s="16"/>
      <c r="B141" s="22"/>
      <c r="C141" s="29" t="s">
        <v>542</v>
      </c>
      <c r="D141" s="29" t="s">
        <v>543</v>
      </c>
      <c r="E141" s="29" t="s">
        <v>544</v>
      </c>
      <c r="F141" s="29" t="s">
        <v>545</v>
      </c>
      <c r="G141" s="29" t="s">
        <v>546</v>
      </c>
      <c r="H141" s="29" t="s">
        <v>547</v>
      </c>
      <c r="I141" s="29" t="s">
        <v>548</v>
      </c>
      <c r="J141" s="29" t="s">
        <v>549</v>
      </c>
      <c r="K141" s="29" t="s">
        <v>550</v>
      </c>
      <c r="L141" s="29" t="s">
        <v>551</v>
      </c>
      <c r="M141" s="33"/>
      <c r="N141" s="12"/>
      <c r="O141" s="12"/>
      <c r="P141" s="12"/>
      <c r="Q141" s="12"/>
      <c r="R141" s="12"/>
      <c r="S141" s="12"/>
      <c r="T141" s="12"/>
      <c r="U141" s="12"/>
    </row>
    <row r="142">
      <c r="A142" s="17" t="s">
        <v>552</v>
      </c>
      <c r="B142" s="22" t="s">
        <v>553</v>
      </c>
      <c r="C142" s="24"/>
      <c r="D142" s="23" t="n">
        <v>56956</v>
      </c>
      <c r="E142" s="23" t="n">
        <v>118000</v>
      </c>
      <c r="F142" s="23" t="n">
        <v>21.15</v>
      </c>
      <c r="G142" s="23" t="n">
        <v>118398</v>
      </c>
      <c r="H142" s="24" t="n">
        <v>78503</v>
      </c>
      <c r="I142" s="24" t="n">
        <v>44788</v>
      </c>
      <c r="J142" s="23" t="n">
        <v>56942</v>
      </c>
      <c r="K142" s="23" t="n">
        <v>18676</v>
      </c>
      <c r="L142" s="24"/>
      <c r="M142" s="33"/>
      <c r="N142" s="12"/>
      <c r="O142" s="12"/>
      <c r="P142" s="12"/>
      <c r="Q142" s="12"/>
      <c r="R142" s="12"/>
      <c r="S142" s="12"/>
      <c r="T142" s="12"/>
      <c r="U142" s="12"/>
    </row>
    <row r="143">
      <c r="A143" s="16"/>
      <c r="B143" s="22" t="s">
        <v>554</v>
      </c>
      <c r="C143" s="28"/>
      <c r="D143" s="23" t="n">
        <v>63028</v>
      </c>
      <c r="E143" s="23" t="n">
        <v>105239</v>
      </c>
      <c r="F143" s="23" t="n">
        <v>297800</v>
      </c>
      <c r="G143" s="23" t="n">
        <v>16.3</v>
      </c>
      <c r="H143" s="24" t="n">
        <v>215567</v>
      </c>
      <c r="I143" s="24" t="n">
        <v>992232</v>
      </c>
      <c r="J143" s="23" t="n">
        <v>145703</v>
      </c>
      <c r="K143" s="23" t="n">
        <v>371833</v>
      </c>
      <c r="L143" s="24"/>
      <c r="M143" s="33"/>
      <c r="N143" s="12"/>
      <c r="O143" s="12"/>
      <c r="P143" s="12"/>
      <c r="Q143" s="12"/>
      <c r="R143" s="12"/>
      <c r="S143" s="12"/>
      <c r="T143" s="12"/>
      <c r="U143" s="12"/>
    </row>
    <row r="144">
      <c r="A144" s="16"/>
      <c r="B144" s="22"/>
      <c r="C144" s="29" t="s">
        <v>555</v>
      </c>
      <c r="D144" s="29" t="s">
        <v>556</v>
      </c>
      <c r="E144" s="29" t="s">
        <v>557</v>
      </c>
      <c r="F144" s="29" t="s">
        <v>558</v>
      </c>
      <c r="G144" s="29" t="s">
        <v>559</v>
      </c>
      <c r="H144" s="29" t="s">
        <v>560</v>
      </c>
      <c r="I144" s="29" t="s">
        <v>561</v>
      </c>
      <c r="J144" s="29" t="s">
        <v>562</v>
      </c>
      <c r="K144" s="29" t="s">
        <v>563</v>
      </c>
      <c r="L144" s="29" t="s">
        <v>564</v>
      </c>
      <c r="M144" s="33"/>
      <c r="N144" s="12"/>
      <c r="O144" s="12"/>
      <c r="P144" s="12"/>
      <c r="Q144" s="12"/>
      <c r="R144" s="12"/>
      <c r="S144" s="12"/>
      <c r="T144" s="12"/>
      <c r="U144" s="12"/>
    </row>
    <row r="145">
      <c r="A145" s="17" t="s">
        <v>565</v>
      </c>
      <c r="B145" s="22" t="s">
        <v>566</v>
      </c>
      <c r="C145" s="24"/>
      <c r="D145" s="23" t="n">
        <v>67330</v>
      </c>
      <c r="E145" s="23" t="n">
        <v>217000</v>
      </c>
      <c r="F145" s="23" t="n">
        <v>30.63</v>
      </c>
      <c r="G145" s="23" t="n">
        <v>196059</v>
      </c>
      <c r="H145" s="24" t="n">
        <v>405838</v>
      </c>
      <c r="I145" s="24" t="n">
        <v>65923</v>
      </c>
      <c r="J145" s="23" t="n">
        <v>241312</v>
      </c>
      <c r="K145" s="23" t="n">
        <v>267927</v>
      </c>
      <c r="L145" s="24"/>
      <c r="M145" s="33"/>
      <c r="N145" s="12"/>
      <c r="O145" s="12"/>
      <c r="P145" s="12"/>
      <c r="Q145" s="12"/>
      <c r="R145" s="12"/>
      <c r="S145" s="12"/>
      <c r="T145" s="12"/>
      <c r="U145" s="12"/>
    </row>
    <row r="146">
      <c r="A146" s="16"/>
      <c r="B146" s="22" t="s">
        <v>567</v>
      </c>
      <c r="C146" s="28"/>
      <c r="D146" s="23" t="n">
        <v>62817</v>
      </c>
      <c r="E146" s="23" t="n">
        <v>104895</v>
      </c>
      <c r="F146" s="23" t="n">
        <v>296900</v>
      </c>
      <c r="G146" s="23" t="n">
        <v>16.3</v>
      </c>
      <c r="H146" s="24" t="n">
        <v>214156</v>
      </c>
      <c r="I146" s="24" t="n">
        <v>990205</v>
      </c>
      <c r="J146" s="23" t="n">
        <v>145476</v>
      </c>
      <c r="K146" s="23" t="n">
        <v>371797</v>
      </c>
      <c r="L146" s="24"/>
      <c r="M146" s="33"/>
      <c r="N146" s="12"/>
      <c r="O146" s="12"/>
      <c r="P146" s="12"/>
      <c r="Q146" s="12"/>
      <c r="R146" s="12"/>
      <c r="S146" s="12"/>
      <c r="T146" s="12"/>
      <c r="U146" s="12"/>
    </row>
    <row r="147">
      <c r="A147" s="16"/>
      <c r="B147" s="22"/>
      <c r="C147" s="29" t="s">
        <v>568</v>
      </c>
      <c r="D147" s="29" t="s">
        <v>569</v>
      </c>
      <c r="E147" s="29" t="s">
        <v>570</v>
      </c>
      <c r="F147" s="29" t="s">
        <v>571</v>
      </c>
      <c r="G147" s="29" t="s">
        <v>572</v>
      </c>
      <c r="H147" s="29" t="s">
        <v>573</v>
      </c>
      <c r="I147" s="29" t="s">
        <v>574</v>
      </c>
      <c r="J147" s="29" t="s">
        <v>575</v>
      </c>
      <c r="K147" s="29" t="s">
        <v>576</v>
      </c>
      <c r="L147" s="29" t="s">
        <v>577</v>
      </c>
      <c r="M147" s="33"/>
      <c r="N147" s="12"/>
      <c r="O147" s="12"/>
      <c r="P147" s="12"/>
      <c r="Q147" s="12"/>
      <c r="R147" s="12"/>
      <c r="S147" s="12"/>
      <c r="T147" s="12"/>
      <c r="U147" s="12"/>
    </row>
    <row r="148">
      <c r="A148" s="17" t="s">
        <v>578</v>
      </c>
      <c r="B148" s="22" t="s">
        <v>579</v>
      </c>
      <c r="C148" s="24"/>
      <c r="D148" s="23" t="n">
        <v>112629</v>
      </c>
      <c r="E148" s="23" t="n">
        <v>279000</v>
      </c>
      <c r="F148" s="23" t="n">
        <v>26.96</v>
      </c>
      <c r="G148" s="23" t="n">
        <v>144879</v>
      </c>
      <c r="H148" s="24" t="n">
        <v>44026</v>
      </c>
      <c r="I148" s="24" t="n">
        <v>92574</v>
      </c>
      <c r="J148" s="23" t="n">
        <v>64988</v>
      </c>
      <c r="K148" s="23" t="n">
        <v>359489</v>
      </c>
      <c r="L148" s="24"/>
      <c r="M148" s="33"/>
      <c r="N148" s="12"/>
      <c r="O148" s="12"/>
      <c r="P148" s="12"/>
      <c r="Q148" s="12"/>
      <c r="R148" s="12"/>
      <c r="S148" s="12"/>
      <c r="T148" s="12"/>
      <c r="U148" s="12"/>
    </row>
    <row r="149">
      <c r="A149" s="16"/>
      <c r="B149" s="22" t="s">
        <v>580</v>
      </c>
      <c r="C149" s="28"/>
      <c r="D149" s="23" t="n">
        <v>62654</v>
      </c>
      <c r="E149" s="23" t="n">
        <v>104155</v>
      </c>
      <c r="F149" s="23" t="n">
        <v>296400</v>
      </c>
      <c r="G149" s="23" t="n">
        <v>16.1</v>
      </c>
      <c r="H149" s="24" t="n">
        <v>203245</v>
      </c>
      <c r="I149" s="24" t="n">
        <v>987763</v>
      </c>
      <c r="J149" s="23" t="n">
        <v>143432</v>
      </c>
      <c r="K149" s="23" t="n">
        <v>371747</v>
      </c>
      <c r="L149" s="24"/>
      <c r="M149" s="33"/>
      <c r="N149" s="12"/>
      <c r="O149" s="12"/>
      <c r="P149" s="12"/>
      <c r="Q149" s="12"/>
      <c r="R149" s="12"/>
      <c r="S149" s="12"/>
      <c r="T149" s="12"/>
      <c r="U149" s="12"/>
    </row>
    <row r="150">
      <c r="A150" s="16"/>
      <c r="B150" s="22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2"/>
      <c r="N150" s="12"/>
      <c r="O150" s="12"/>
      <c r="P150" s="12"/>
      <c r="Q150" s="12"/>
      <c r="R150" s="12"/>
      <c r="S150" s="12"/>
      <c r="T150" s="12"/>
      <c r="U150" s="12"/>
    </row>
    <row r="151">
      <c r="A151" s="16"/>
      <c r="B151" s="22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2"/>
      <c r="N151" s="12"/>
      <c r="O151" s="12"/>
      <c r="P151" s="12"/>
      <c r="Q151" s="12"/>
      <c r="R151" s="12"/>
      <c r="S151" s="12"/>
      <c r="T151" s="12"/>
      <c r="U151" s="12"/>
    </row>
    <row r="152">
      <c r="A152" s="16"/>
      <c r="B152" s="22"/>
      <c r="C152" s="16" t="s">
        <v>581</v>
      </c>
      <c r="D152" s="16" t="s">
        <v>582</v>
      </c>
      <c r="E152" s="16" t="s">
        <v>583</v>
      </c>
      <c r="F152" s="16" t="s">
        <v>584</v>
      </c>
      <c r="G152" s="16" t="s">
        <v>585</v>
      </c>
      <c r="H152" s="16" t="s">
        <v>586</v>
      </c>
      <c r="I152" s="16" t="s">
        <v>587</v>
      </c>
      <c r="J152" s="16" t="s">
        <v>588</v>
      </c>
      <c r="K152" s="16" t="s">
        <v>589</v>
      </c>
      <c r="L152" s="16" t="s">
        <v>590</v>
      </c>
      <c r="M152" s="12"/>
      <c r="N152" s="12"/>
      <c r="O152" s="12"/>
      <c r="P152" s="12"/>
      <c r="Q152" s="12"/>
      <c r="R152" s="12"/>
      <c r="S152" s="12"/>
      <c r="T152" s="12"/>
      <c r="U152" s="12"/>
    </row>
    <row r="153">
      <c r="A153" s="17" t="s">
        <v>591</v>
      </c>
      <c r="B153" s="22" t="s">
        <v>592</v>
      </c>
      <c r="C153" s="24"/>
      <c r="D153" s="23" t="n">
        <v>103505</v>
      </c>
      <c r="E153" s="23" t="n">
        <v>149000</v>
      </c>
      <c r="F153" s="23" t="n">
        <v>21.7</v>
      </c>
      <c r="G153" s="23" t="n">
        <v>99338</v>
      </c>
      <c r="H153" s="24" t="n">
        <v>31736</v>
      </c>
      <c r="I153" s="24" t="n">
        <v>28967</v>
      </c>
      <c r="J153" s="23" t="n">
        <v>57105</v>
      </c>
      <c r="K153" s="23" t="n">
        <v>30891</v>
      </c>
      <c r="L153" s="24"/>
      <c r="M153" s="12"/>
      <c r="N153" s="12"/>
      <c r="O153" s="12"/>
      <c r="P153" s="12"/>
      <c r="Q153" s="12"/>
      <c r="R153" s="12"/>
      <c r="S153" s="12"/>
      <c r="T153" s="12"/>
      <c r="U153" s="12"/>
    </row>
    <row r="154">
      <c r="A154" s="16"/>
      <c r="B154" s="22" t="s">
        <v>593</v>
      </c>
      <c r="C154" s="28"/>
      <c r="D154" s="23" t="n">
        <v>62527</v>
      </c>
      <c r="E154" s="23" t="n">
        <v>103865</v>
      </c>
      <c r="F154" s="23" t="n">
        <v>296200</v>
      </c>
      <c r="G154" s="23" t="n">
        <v>16.1</v>
      </c>
      <c r="H154" s="24" t="n">
        <v>203029</v>
      </c>
      <c r="I154" s="24" t="n">
        <v>987068</v>
      </c>
      <c r="J154" s="23" t="n">
        <v>143122</v>
      </c>
      <c r="K154" s="23" t="n">
        <v>371575</v>
      </c>
      <c r="L154" s="24" t="n">
        <v>86550</v>
      </c>
      <c r="M154" s="12"/>
      <c r="N154" s="12"/>
      <c r="O154" s="12"/>
      <c r="P154" s="12"/>
      <c r="Q154" s="12"/>
      <c r="R154" s="12"/>
      <c r="S154" s="12"/>
      <c r="T154" s="12"/>
      <c r="U154" s="12"/>
    </row>
    <row r="155">
      <c r="A155" s="16"/>
      <c r="B155" s="22"/>
      <c r="C155" s="16" t="s">
        <v>594</v>
      </c>
      <c r="D155" s="16" t="s">
        <v>595</v>
      </c>
      <c r="E155" s="16" t="s">
        <v>596</v>
      </c>
      <c r="F155" s="16" t="s">
        <v>597</v>
      </c>
      <c r="G155" s="16" t="s">
        <v>598</v>
      </c>
      <c r="H155" s="16" t="s">
        <v>599</v>
      </c>
      <c r="I155" s="16" t="s">
        <v>600</v>
      </c>
      <c r="J155" s="16" t="s">
        <v>601</v>
      </c>
      <c r="K155" s="16" t="s">
        <v>602</v>
      </c>
      <c r="L155" s="16" t="s">
        <v>603</v>
      </c>
      <c r="M155" s="12"/>
      <c r="N155" s="12"/>
      <c r="O155" s="12"/>
      <c r="P155" s="12"/>
      <c r="Q155" s="12"/>
      <c r="R155" s="12"/>
      <c r="S155" s="12"/>
      <c r="T155" s="12"/>
      <c r="U155" s="12"/>
    </row>
    <row r="156">
      <c r="A156" s="16" t="s">
        <v>604</v>
      </c>
      <c r="B156" s="22" t="s">
        <v>605</v>
      </c>
      <c r="C156" s="24" t="n">
        <v>8110</v>
      </c>
      <c r="D156" s="28" t="n">
        <v>117567</v>
      </c>
      <c r="E156" s="28" t="n">
        <v>46000</v>
      </c>
      <c r="F156" s="28" t="n">
        <v>192100</v>
      </c>
      <c r="G156" s="28" t="n">
        <v>111956</v>
      </c>
      <c r="H156" s="24" t="n">
        <v>32267</v>
      </c>
      <c r="I156" s="24" t="n">
        <v>65178</v>
      </c>
      <c r="J156" s="28" t="n">
        <v>44236</v>
      </c>
      <c r="K156" s="28" t="n">
        <v>12889</v>
      </c>
      <c r="L156" s="24" t="n">
        <v>3336</v>
      </c>
      <c r="M156" s="12"/>
      <c r="N156" s="12"/>
      <c r="O156" s="12"/>
      <c r="P156" s="12"/>
      <c r="Q156" s="12"/>
      <c r="R156" s="12"/>
      <c r="S156" s="12"/>
      <c r="T156" s="12"/>
      <c r="U156" s="12"/>
    </row>
    <row r="157">
      <c r="A157" s="16"/>
      <c r="B157" s="22" t="s">
        <v>606</v>
      </c>
      <c r="C157" s="28" t="n">
        <v>1618027</v>
      </c>
      <c r="D157" s="28" t="n">
        <v>62203</v>
      </c>
      <c r="E157" s="28" t="n">
        <v>103856</v>
      </c>
      <c r="F157" s="28" t="n">
        <v>296000</v>
      </c>
      <c r="G157" s="23" t="n">
        <v>160000</v>
      </c>
      <c r="H157" s="24" t="n">
        <v>202929</v>
      </c>
      <c r="I157" s="24" t="n">
        <v>986769</v>
      </c>
      <c r="J157" s="28" t="n">
        <v>142873</v>
      </c>
      <c r="K157" s="28" t="n">
        <v>371535</v>
      </c>
      <c r="L157" s="24" t="n">
        <v>86519</v>
      </c>
      <c r="M157" s="12"/>
      <c r="N157" s="12"/>
      <c r="O157" s="12"/>
      <c r="P157" s="12"/>
      <c r="Q157" s="12"/>
      <c r="R157" s="12"/>
      <c r="S157" s="12"/>
      <c r="T157" s="12"/>
      <c r="U157" s="12"/>
    </row>
    <row r="158">
      <c r="A158" s="16"/>
      <c r="B158" s="22"/>
      <c r="C158" s="16" t="s">
        <v>607</v>
      </c>
      <c r="D158" s="16" t="s">
        <v>608</v>
      </c>
      <c r="E158" s="16" t="s">
        <v>609</v>
      </c>
      <c r="F158" s="16" t="s">
        <v>610</v>
      </c>
      <c r="G158" s="16" t="s">
        <v>611</v>
      </c>
      <c r="H158" s="16" t="s">
        <v>612</v>
      </c>
      <c r="I158" s="16" t="s">
        <v>613</v>
      </c>
      <c r="J158" s="16" t="s">
        <v>614</v>
      </c>
      <c r="K158" s="16" t="s">
        <v>615</v>
      </c>
      <c r="L158" s="16" t="s">
        <v>616</v>
      </c>
      <c r="M158" s="12"/>
      <c r="N158" s="12"/>
      <c r="O158" s="12"/>
      <c r="P158" s="12"/>
      <c r="Q158" s="12"/>
      <c r="R158" s="12"/>
      <c r="S158" s="12"/>
      <c r="T158" s="12"/>
      <c r="U158" s="12"/>
    </row>
    <row r="159">
      <c r="A159" s="16" t="s">
        <v>617</v>
      </c>
      <c r="B159" s="22" t="s">
        <v>618</v>
      </c>
      <c r="C159" s="28"/>
      <c r="D159" s="28" t="n">
        <v>176978</v>
      </c>
      <c r="E159" s="28" t="n">
        <v>42000</v>
      </c>
      <c r="F159" s="28" t="n">
        <v>253300</v>
      </c>
      <c r="G159" s="28" t="n">
        <v>139000</v>
      </c>
      <c r="H159" s="28" t="n">
        <v>89733</v>
      </c>
      <c r="I159" s="28" t="n">
        <v>34318</v>
      </c>
      <c r="J159" s="28" t="n">
        <v>51366</v>
      </c>
      <c r="K159" s="28" t="n">
        <v>25065</v>
      </c>
      <c r="L159" s="28" t="n">
        <v>6251</v>
      </c>
      <c r="M159" s="12"/>
      <c r="N159" s="12"/>
      <c r="O159" s="12"/>
      <c r="P159" s="12"/>
      <c r="Q159" s="12"/>
      <c r="R159" s="12"/>
      <c r="S159" s="12"/>
      <c r="T159" s="12"/>
      <c r="U159" s="12"/>
    </row>
    <row r="160">
      <c r="A160" s="16"/>
      <c r="B160" s="22" t="s">
        <v>619</v>
      </c>
      <c r="C160" s="28"/>
      <c r="D160" s="28" t="n">
        <v>61911</v>
      </c>
      <c r="E160" s="28" t="n">
        <v>103852</v>
      </c>
      <c r="F160" s="28" t="n">
        <v>296100</v>
      </c>
      <c r="G160" s="28" t="n">
        <v>16</v>
      </c>
      <c r="H160" s="28" t="n">
        <v>202749</v>
      </c>
      <c r="I160" s="28" t="n">
        <v>986451</v>
      </c>
      <c r="J160" s="28" t="n">
        <v>142582</v>
      </c>
      <c r="K160" s="28" t="n">
        <v>371521</v>
      </c>
      <c r="L160" s="28" t="n">
        <v>85066</v>
      </c>
      <c r="M160" s="12"/>
      <c r="N160" s="12"/>
      <c r="O160" s="12"/>
      <c r="P160" s="12"/>
      <c r="Q160" s="12"/>
      <c r="R160" s="12"/>
      <c r="S160" s="12"/>
      <c r="T160" s="12"/>
      <c r="U160" s="12"/>
    </row>
    <row r="161">
      <c r="A161" s="16"/>
      <c r="B161" s="22"/>
      <c r="C161" s="16" t="s">
        <v>620</v>
      </c>
      <c r="D161" s="16" t="s">
        <v>621</v>
      </c>
      <c r="E161" s="16" t="s">
        <v>622</v>
      </c>
      <c r="F161" s="16" t="s">
        <v>623</v>
      </c>
      <c r="G161" s="16" t="s">
        <v>624</v>
      </c>
      <c r="H161" s="16" t="s">
        <v>625</v>
      </c>
      <c r="I161" s="16" t="s">
        <v>626</v>
      </c>
      <c r="J161" s="16" t="s">
        <v>627</v>
      </c>
      <c r="K161" s="16" t="s">
        <v>628</v>
      </c>
      <c r="L161" s="16" t="s">
        <v>629</v>
      </c>
      <c r="M161" s="12"/>
      <c r="N161" s="12"/>
      <c r="O161" s="12"/>
      <c r="P161" s="12"/>
      <c r="Q161" s="12"/>
      <c r="R161" s="12"/>
      <c r="S161" s="12"/>
      <c r="T161" s="12"/>
      <c r="U161" s="12"/>
    </row>
    <row r="162">
      <c r="A162" s="16" t="s">
        <v>630</v>
      </c>
      <c r="B162" s="22" t="s">
        <v>631</v>
      </c>
      <c r="C162" s="28"/>
      <c r="D162" s="28" t="n">
        <v>278314</v>
      </c>
      <c r="E162" s="28" t="n">
        <v>159000</v>
      </c>
      <c r="F162" s="28" t="n">
        <v>487500</v>
      </c>
      <c r="G162" s="28" t="n">
        <v>211000</v>
      </c>
      <c r="H162" s="28" t="n">
        <v>99811</v>
      </c>
      <c r="I162" s="28" t="n">
        <v>65048</v>
      </c>
      <c r="J162" s="28" t="n">
        <v>95185</v>
      </c>
      <c r="K162" s="28" t="n">
        <v>127234</v>
      </c>
      <c r="L162" s="28" t="n">
        <v>8590</v>
      </c>
      <c r="M162" s="12"/>
      <c r="N162" s="12"/>
      <c r="O162" s="12"/>
      <c r="P162" s="12"/>
      <c r="Q162" s="12"/>
      <c r="R162" s="12"/>
      <c r="S162" s="12"/>
      <c r="T162" s="12"/>
      <c r="U162" s="12"/>
    </row>
    <row r="163">
      <c r="A163" s="16"/>
      <c r="B163" s="22" t="s">
        <v>632</v>
      </c>
      <c r="C163" s="28"/>
      <c r="D163" s="28" t="n">
        <v>60980</v>
      </c>
      <c r="E163" s="28" t="n">
        <v>103829</v>
      </c>
      <c r="F163" s="28" t="n">
        <v>296300</v>
      </c>
      <c r="G163" s="28" t="n">
        <v>16</v>
      </c>
      <c r="H163" s="24" t="n">
        <v>201431</v>
      </c>
      <c r="I163" s="28" t="n">
        <v>985529</v>
      </c>
      <c r="J163" s="28" t="n">
        <v>141980</v>
      </c>
      <c r="K163" s="28" t="n">
        <v>371482</v>
      </c>
      <c r="L163" s="28" t="n">
        <v>85066</v>
      </c>
      <c r="M163" s="12"/>
      <c r="N163" s="12"/>
      <c r="O163" s="12"/>
      <c r="P163" s="12"/>
      <c r="Q163" s="12"/>
      <c r="R163" s="12"/>
      <c r="S163" s="12"/>
      <c r="T163" s="12"/>
      <c r="U163" s="12"/>
    </row>
    <row r="164">
      <c r="A164" s="16"/>
      <c r="B164" s="22"/>
      <c r="C164" s="16" t="s">
        <v>633</v>
      </c>
      <c r="D164" s="16" t="s">
        <v>634</v>
      </c>
      <c r="E164" s="16" t="s">
        <v>635</v>
      </c>
      <c r="F164" s="16" t="s">
        <v>636</v>
      </c>
      <c r="G164" s="16" t="s">
        <v>637</v>
      </c>
      <c r="H164" s="16" t="s">
        <v>638</v>
      </c>
      <c r="I164" s="16" t="s">
        <v>639</v>
      </c>
      <c r="J164" s="16" t="s">
        <v>640</v>
      </c>
      <c r="K164" s="16" t="s">
        <v>641</v>
      </c>
      <c r="L164" s="16" t="s">
        <v>642</v>
      </c>
      <c r="M164" s="12"/>
      <c r="N164" s="12"/>
      <c r="O164" s="12"/>
      <c r="P164" s="12"/>
      <c r="Q164" s="12"/>
      <c r="R164" s="12"/>
      <c r="S164" s="12"/>
      <c r="T164" s="12"/>
      <c r="U164" s="12"/>
    </row>
    <row r="165">
      <c r="A165" s="16" t="s">
        <v>643</v>
      </c>
      <c r="B165" s="22" t="s">
        <v>644</v>
      </c>
      <c r="C165" s="28"/>
      <c r="D165" s="28" t="n">
        <v>73100</v>
      </c>
      <c r="E165" s="28" t="n">
        <v>396000</v>
      </c>
      <c r="F165" s="28" t="n">
        <v>763000</v>
      </c>
      <c r="G165" s="28" t="n">
        <v>240800</v>
      </c>
      <c r="H165" s="28" t="n">
        <v>130238</v>
      </c>
      <c r="I165" s="28" t="n">
        <v>131350</v>
      </c>
      <c r="J165" s="28" t="n">
        <v>37048</v>
      </c>
      <c r="K165" s="28" t="n">
        <v>96150</v>
      </c>
      <c r="L165" s="28" t="n">
        <v>8762</v>
      </c>
      <c r="M165" s="12"/>
      <c r="N165" s="12"/>
      <c r="O165" s="12"/>
      <c r="P165" s="12"/>
      <c r="Q165" s="12"/>
      <c r="R165" s="12"/>
      <c r="S165" s="12"/>
      <c r="T165" s="12"/>
      <c r="U165" s="12"/>
    </row>
    <row r="166">
      <c r="A166" s="16"/>
      <c r="B166" s="22" t="s">
        <v>645</v>
      </c>
      <c r="C166" s="28"/>
      <c r="D166" s="28" t="n">
        <v>59697</v>
      </c>
      <c r="E166" s="28" t="n">
        <v>103750</v>
      </c>
      <c r="F166" s="28" t="n">
        <v>296000</v>
      </c>
      <c r="G166" s="28" t="n">
        <v>15.9</v>
      </c>
      <c r="H166" s="28" t="n">
        <v>200054</v>
      </c>
      <c r="I166" s="28" t="n">
        <v>985183</v>
      </c>
      <c r="J166" s="28" t="n">
        <v>141483</v>
      </c>
      <c r="K166" s="28" t="n">
        <v>371304</v>
      </c>
      <c r="L166" s="28" t="n">
        <v>85066</v>
      </c>
      <c r="M166" s="12"/>
      <c r="N166" s="12"/>
      <c r="O166" s="12"/>
      <c r="P166" s="12"/>
      <c r="Q166" s="12"/>
      <c r="R166" s="12"/>
      <c r="S166" s="12"/>
      <c r="T166" s="12"/>
      <c r="U166" s="12"/>
    </row>
    <row r="167">
      <c r="A167" s="16"/>
      <c r="B167" s="22"/>
      <c r="C167" s="16" t="s">
        <v>646</v>
      </c>
      <c r="D167" s="16" t="s">
        <v>647</v>
      </c>
      <c r="E167" s="16" t="s">
        <v>648</v>
      </c>
      <c r="F167" s="16" t="s">
        <v>649</v>
      </c>
      <c r="G167" s="16" t="s">
        <v>650</v>
      </c>
      <c r="H167" s="16" t="s">
        <v>651</v>
      </c>
      <c r="I167" s="16" t="s">
        <v>652</v>
      </c>
      <c r="J167" s="16" t="s">
        <v>653</v>
      </c>
      <c r="K167" s="16" t="s">
        <v>654</v>
      </c>
      <c r="L167" s="16" t="s">
        <v>655</v>
      </c>
      <c r="M167" s="12"/>
      <c r="N167" s="12"/>
      <c r="O167" s="12"/>
      <c r="P167" s="12"/>
      <c r="Q167" s="12"/>
      <c r="R167" s="12"/>
      <c r="S167" s="12"/>
      <c r="T167" s="12"/>
      <c r="U167" s="12"/>
    </row>
    <row r="168">
      <c r="A168" s="16" t="s">
        <v>656</v>
      </c>
      <c r="B168" s="22" t="s">
        <v>657</v>
      </c>
      <c r="C168" s="28"/>
      <c r="D168" s="28" t="n">
        <v>103890</v>
      </c>
      <c r="E168" s="28" t="n">
        <v>329000</v>
      </c>
      <c r="F168" s="28" t="n">
        <v>872000</v>
      </c>
      <c r="G168" s="28" t="n">
        <v>347540</v>
      </c>
      <c r="H168" s="28" t="n">
        <v>177548</v>
      </c>
      <c r="I168" s="28" t="n">
        <v>69680</v>
      </c>
      <c r="J168" s="28" t="n">
        <v>23422</v>
      </c>
      <c r="K168" s="28" t="n">
        <v>111427</v>
      </c>
      <c r="L168" s="28" t="n">
        <v>5991</v>
      </c>
      <c r="M168" s="12"/>
      <c r="N168" s="12"/>
      <c r="O168" s="12"/>
      <c r="P168" s="12"/>
      <c r="Q168" s="12"/>
      <c r="R168" s="12"/>
      <c r="S168" s="12"/>
      <c r="T168" s="12"/>
      <c r="U168" s="12"/>
    </row>
    <row r="169">
      <c r="A169" s="16"/>
      <c r="B169" s="22" t="s">
        <v>658</v>
      </c>
      <c r="C169" s="28"/>
      <c r="D169" s="28" t="n">
        <v>59159</v>
      </c>
      <c r="E169" s="28" t="n">
        <v>103686</v>
      </c>
      <c r="F169" s="28" t="n">
        <v>294500</v>
      </c>
      <c r="G169" s="28" t="n">
        <v>15.7</v>
      </c>
      <c r="H169" s="28" t="n">
        <v>197743</v>
      </c>
      <c r="I169" s="28" t="n">
        <v>984372</v>
      </c>
      <c r="J169" s="28" t="n">
        <v>141273</v>
      </c>
      <c r="K169" s="28" t="n">
        <v>371093</v>
      </c>
      <c r="L169" s="28" t="n">
        <v>85066</v>
      </c>
      <c r="M169" s="12"/>
      <c r="N169" s="12"/>
      <c r="O169" s="12"/>
      <c r="P169" s="12"/>
      <c r="Q169" s="12"/>
      <c r="R169" s="12"/>
      <c r="S169" s="12"/>
      <c r="T169" s="12"/>
      <c r="U169" s="12"/>
    </row>
    <row r="170">
      <c r="A170" s="16"/>
      <c r="B170" s="22"/>
      <c r="C170" s="16" t="s">
        <v>659</v>
      </c>
      <c r="D170" s="16" t="s">
        <v>660</v>
      </c>
      <c r="E170" s="16" t="s">
        <v>661</v>
      </c>
      <c r="F170" s="16" t="s">
        <v>662</v>
      </c>
      <c r="G170" s="16" t="s">
        <v>663</v>
      </c>
      <c r="H170" s="16" t="s">
        <v>664</v>
      </c>
      <c r="I170" s="16" t="s">
        <v>665</v>
      </c>
      <c r="J170" s="16" t="s">
        <v>666</v>
      </c>
      <c r="K170" s="16" t="s">
        <v>667</v>
      </c>
      <c r="L170" s="16" t="s">
        <v>668</v>
      </c>
      <c r="M170" s="12"/>
      <c r="N170" s="12"/>
      <c r="O170" s="12"/>
      <c r="P170" s="12"/>
      <c r="Q170" s="12"/>
      <c r="R170" s="12"/>
      <c r="S170" s="12"/>
      <c r="T170" s="12"/>
      <c r="U170" s="12"/>
    </row>
    <row r="171">
      <c r="A171" s="16" t="s">
        <v>669</v>
      </c>
      <c r="B171" s="22" t="s">
        <v>670</v>
      </c>
      <c r="C171" s="28"/>
      <c r="D171" s="28" t="n">
        <v>114920</v>
      </c>
      <c r="E171" s="28" t="n">
        <v>28.5</v>
      </c>
      <c r="F171" s="28" t="n">
        <v>807000</v>
      </c>
      <c r="G171" s="28" t="n">
        <v>280675</v>
      </c>
      <c r="H171" s="28" t="n">
        <v>113387</v>
      </c>
      <c r="I171" s="28" t="n">
        <v>36918</v>
      </c>
      <c r="J171" s="28" t="n">
        <v>24973</v>
      </c>
      <c r="K171" s="28" t="n">
        <v>526474</v>
      </c>
      <c r="L171" s="28" t="n">
        <v>5208</v>
      </c>
      <c r="M171" s="12"/>
      <c r="N171" s="12"/>
      <c r="O171" s="12"/>
      <c r="P171" s="12"/>
      <c r="Q171" s="12"/>
      <c r="R171" s="12"/>
      <c r="S171" s="12"/>
      <c r="T171" s="12"/>
      <c r="U171" s="12"/>
    </row>
    <row r="172">
      <c r="A172" s="16"/>
      <c r="B172" s="22" t="s">
        <v>671</v>
      </c>
      <c r="C172" s="28"/>
      <c r="D172" s="28" t="n">
        <v>58832</v>
      </c>
      <c r="E172" s="28" t="n">
        <v>103641</v>
      </c>
      <c r="F172" s="28" t="n">
        <v>293800</v>
      </c>
      <c r="G172" s="28" t="n">
        <v>15.5</v>
      </c>
      <c r="H172" s="28" t="n">
        <v>196185</v>
      </c>
      <c r="I172" s="28" t="n">
        <v>983442</v>
      </c>
      <c r="J172" s="28" t="n">
        <v>141157</v>
      </c>
      <c r="K172" s="28" t="n">
        <v>370974</v>
      </c>
      <c r="L172" s="28" t="n">
        <v>85066</v>
      </c>
      <c r="M172" s="12"/>
      <c r="N172" s="12"/>
      <c r="O172" s="12"/>
      <c r="P172" s="12"/>
      <c r="Q172" s="12"/>
      <c r="R172" s="12"/>
      <c r="S172" s="12"/>
      <c r="T172" s="12"/>
      <c r="U172" s="12"/>
    </row>
    <row r="173">
      <c r="A173" s="16"/>
      <c r="B173" s="22"/>
      <c r="C173" s="16" t="s">
        <v>672</v>
      </c>
      <c r="D173" s="16" t="s">
        <v>673</v>
      </c>
      <c r="E173" s="16" t="s">
        <v>674</v>
      </c>
      <c r="F173" s="16" t="s">
        <v>675</v>
      </c>
      <c r="G173" s="16" t="s">
        <v>676</v>
      </c>
      <c r="H173" s="16" t="s">
        <v>677</v>
      </c>
      <c r="I173" s="16" t="s">
        <v>678</v>
      </c>
      <c r="J173" s="16" t="s">
        <v>679</v>
      </c>
      <c r="K173" s="16" t="s">
        <v>680</v>
      </c>
      <c r="L173" s="16" t="s">
        <v>681</v>
      </c>
      <c r="M173" s="12"/>
      <c r="N173" s="12"/>
      <c r="O173" s="12"/>
      <c r="P173" s="12"/>
      <c r="Q173" s="12"/>
      <c r="R173" s="12"/>
      <c r="S173" s="12"/>
      <c r="T173" s="12"/>
      <c r="U173" s="12"/>
    </row>
    <row r="174">
      <c r="A174" s="16" t="s">
        <v>682</v>
      </c>
      <c r="B174" s="22" t="s">
        <v>683</v>
      </c>
      <c r="C174" s="28"/>
      <c r="D174" s="28" t="n">
        <v>160757</v>
      </c>
      <c r="E174" s="28" t="n">
        <v>259000</v>
      </c>
      <c r="F174" s="28" t="n">
        <v>268000</v>
      </c>
      <c r="G174" s="28" t="n">
        <v>212684</v>
      </c>
      <c r="H174" s="28" t="n">
        <v>111356</v>
      </c>
      <c r="I174" s="28" t="n">
        <v>17006</v>
      </c>
      <c r="J174" s="28" t="n">
        <v>25024</v>
      </c>
      <c r="K174" s="28" t="n">
        <v>195279</v>
      </c>
      <c r="L174" s="28" t="n">
        <v>5424</v>
      </c>
      <c r="M174" s="12"/>
      <c r="N174" s="12"/>
      <c r="O174" s="12"/>
      <c r="P174" s="12"/>
      <c r="Q174" s="12"/>
      <c r="R174" s="12"/>
      <c r="S174" s="12"/>
      <c r="T174" s="12"/>
      <c r="U174" s="12"/>
    </row>
    <row r="175">
      <c r="A175" s="16"/>
      <c r="B175" s="22" t="s">
        <v>684</v>
      </c>
      <c r="C175" s="28" t="n">
        <v>1618694</v>
      </c>
      <c r="D175" s="28" t="n">
        <v>57742</v>
      </c>
      <c r="E175" s="28" t="n">
        <v>103615</v>
      </c>
      <c r="F175" s="28" t="n">
        <v>293300</v>
      </c>
      <c r="G175" s="28" t="n">
        <v>15.3</v>
      </c>
      <c r="H175" s="24" t="n">
        <v>193063</v>
      </c>
      <c r="I175" s="24" t="n">
        <v>983270</v>
      </c>
      <c r="J175" s="24" t="n">
        <v>141018</v>
      </c>
      <c r="K175" s="28" t="n">
        <v>370207</v>
      </c>
      <c r="L175" s="28" t="n">
        <v>85066</v>
      </c>
      <c r="M175" s="12"/>
      <c r="N175" s="12"/>
      <c r="O175" s="12"/>
      <c r="P175" s="12"/>
      <c r="Q175" s="12"/>
      <c r="R175" s="12"/>
      <c r="S175" s="12"/>
      <c r="T175" s="12"/>
      <c r="U175" s="12"/>
    </row>
    <row r="176">
      <c r="A176" s="16"/>
      <c r="B176" s="22"/>
      <c r="C176" s="16" t="s">
        <v>685</v>
      </c>
      <c r="D176" s="16" t="s">
        <v>686</v>
      </c>
      <c r="E176" s="16" t="s">
        <v>687</v>
      </c>
      <c r="F176" s="16" t="s">
        <v>688</v>
      </c>
      <c r="G176" s="16" t="s">
        <v>689</v>
      </c>
      <c r="H176" s="16" t="s">
        <v>690</v>
      </c>
      <c r="I176" s="16" t="s">
        <v>691</v>
      </c>
      <c r="J176" s="16" t="s">
        <v>692</v>
      </c>
      <c r="K176" s="16" t="s">
        <v>693</v>
      </c>
      <c r="L176" s="16" t="s">
        <v>694</v>
      </c>
      <c r="M176" s="12"/>
      <c r="N176" s="12"/>
      <c r="O176" s="12"/>
      <c r="P176" s="12"/>
      <c r="Q176" s="12"/>
      <c r="R176" s="12"/>
      <c r="S176" s="12"/>
      <c r="T176" s="12"/>
      <c r="U176" s="12"/>
    </row>
    <row r="177">
      <c r="A177" s="16" t="s">
        <v>695</v>
      </c>
      <c r="B177" s="22" t="s">
        <v>696</v>
      </c>
      <c r="C177" s="28"/>
      <c r="D177" s="28" t="n">
        <v>34119</v>
      </c>
      <c r="E177" s="28" t="n">
        <v>20.6</v>
      </c>
      <c r="F177" s="28" t="n">
        <v>21000</v>
      </c>
      <c r="G177" s="28" t="n">
        <v>137979</v>
      </c>
      <c r="H177" s="28" t="n">
        <v>25172</v>
      </c>
      <c r="I177" s="28" t="n">
        <v>90526</v>
      </c>
      <c r="J177" s="28" t="n">
        <v>25725</v>
      </c>
      <c r="K177" s="28" t="n">
        <v>21005</v>
      </c>
      <c r="L177" s="28" t="n">
        <v>4926</v>
      </c>
      <c r="M177" s="12"/>
      <c r="N177" s="12"/>
      <c r="O177" s="12"/>
      <c r="P177" s="12"/>
      <c r="Q177" s="12"/>
      <c r="R177" s="12"/>
      <c r="S177" s="12"/>
      <c r="T177" s="12"/>
      <c r="U177" s="12"/>
    </row>
    <row r="178">
      <c r="A178" s="16"/>
      <c r="B178" s="22" t="s">
        <v>697</v>
      </c>
      <c r="C178" s="28" t="n">
        <v>1618800</v>
      </c>
      <c r="D178" s="28" t="n">
        <v>56459</v>
      </c>
      <c r="E178" s="28" t="n">
        <v>103557</v>
      </c>
      <c r="F178" s="28" t="n">
        <v>293000</v>
      </c>
      <c r="G178" s="28" t="n">
        <v>15.1</v>
      </c>
      <c r="H178" s="24" t="n">
        <v>191438</v>
      </c>
      <c r="I178" s="24" t="n">
        <v>982930</v>
      </c>
      <c r="J178" s="24" t="n">
        <v>140917</v>
      </c>
      <c r="K178" s="28" t="n">
        <v>369961</v>
      </c>
      <c r="L178" s="28" t="n">
        <v>85066</v>
      </c>
      <c r="M178" s="12"/>
      <c r="N178" s="12"/>
      <c r="O178" s="12"/>
      <c r="P178" s="12"/>
      <c r="Q178" s="12"/>
      <c r="R178" s="12"/>
      <c r="S178" s="12"/>
      <c r="T178" s="12"/>
      <c r="U178" s="12"/>
    </row>
    <row r="179">
      <c r="A179" s="16"/>
      <c r="B179" s="22"/>
      <c r="C179" s="16" t="s">
        <v>698</v>
      </c>
      <c r="D179" s="16" t="s">
        <v>699</v>
      </c>
      <c r="E179" s="16" t="s">
        <v>700</v>
      </c>
      <c r="F179" s="16" t="s">
        <v>701</v>
      </c>
      <c r="G179" s="16" t="s">
        <v>702</v>
      </c>
      <c r="H179" s="16" t="s">
        <v>703</v>
      </c>
      <c r="I179" s="16" t="s">
        <v>704</v>
      </c>
      <c r="J179" s="16" t="s">
        <v>705</v>
      </c>
      <c r="K179" s="16" t="s">
        <v>706</v>
      </c>
      <c r="L179" s="16" t="s">
        <v>707</v>
      </c>
      <c r="M179" s="12"/>
      <c r="N179" s="12"/>
      <c r="O179" s="12"/>
      <c r="P179" s="12"/>
      <c r="Q179" s="12"/>
      <c r="R179" s="12"/>
      <c r="S179" s="12"/>
      <c r="T179" s="12"/>
      <c r="U179" s="12"/>
    </row>
    <row r="180">
      <c r="A180" s="16" t="s">
        <v>708</v>
      </c>
      <c r="B180" s="22" t="s">
        <v>709</v>
      </c>
      <c r="C180" s="24" t="n">
        <v>12148</v>
      </c>
      <c r="D180" s="28" t="n">
        <v>89537</v>
      </c>
      <c r="E180" s="28" t="n">
        <v>248000</v>
      </c>
      <c r="F180" s="28" t="n">
        <v>274000</v>
      </c>
      <c r="G180" s="24" t="n">
        <v>121079</v>
      </c>
      <c r="H180" s="24" t="n">
        <v>78578</v>
      </c>
      <c r="I180" s="24" t="n">
        <v>57886</v>
      </c>
      <c r="J180" s="28" t="n">
        <v>47810</v>
      </c>
      <c r="K180" s="28" t="n">
        <v>84508</v>
      </c>
      <c r="L180" s="28" t="n">
        <v>5555</v>
      </c>
      <c r="M180" s="12"/>
      <c r="N180" s="12"/>
      <c r="O180" s="12"/>
      <c r="P180" s="12"/>
      <c r="Q180" s="12"/>
      <c r="R180" s="12"/>
      <c r="S180" s="12"/>
      <c r="T180" s="12"/>
      <c r="U180" s="12"/>
    </row>
    <row r="181">
      <c r="A181" s="16"/>
      <c r="B181" s="22" t="s">
        <v>710</v>
      </c>
      <c r="C181" s="28" t="n">
        <v>1618960</v>
      </c>
      <c r="D181" s="28" t="n">
        <v>56298</v>
      </c>
      <c r="E181" s="28" t="n">
        <v>103528</v>
      </c>
      <c r="F181" s="28" t="n">
        <v>292700</v>
      </c>
      <c r="G181" s="28" t="n">
        <v>15</v>
      </c>
      <c r="H181" s="24" t="n">
        <v>191273</v>
      </c>
      <c r="I181" s="24" t="n">
        <v>982380</v>
      </c>
      <c r="J181" s="24" t="n">
        <v>140854</v>
      </c>
      <c r="K181" s="28" t="n">
        <v>369932</v>
      </c>
      <c r="L181" s="28" t="n">
        <v>85066</v>
      </c>
      <c r="M181" s="12"/>
      <c r="N181" s="12"/>
      <c r="O181" s="12"/>
      <c r="P181" s="12"/>
      <c r="Q181" s="12"/>
      <c r="R181" s="12"/>
      <c r="S181" s="12"/>
      <c r="T181" s="12"/>
      <c r="U181" s="12"/>
    </row>
    <row r="182">
      <c r="A182" s="16"/>
      <c r="B182" s="22"/>
      <c r="C182" s="16" t="s">
        <v>711</v>
      </c>
      <c r="D182" s="16" t="s">
        <v>712</v>
      </c>
      <c r="E182" s="16" t="s">
        <v>713</v>
      </c>
      <c r="F182" s="16" t="s">
        <v>714</v>
      </c>
      <c r="G182" s="16" t="s">
        <v>715</v>
      </c>
      <c r="H182" s="16" t="s">
        <v>716</v>
      </c>
      <c r="I182" s="16" t="s">
        <v>717</v>
      </c>
      <c r="J182" s="16" t="s">
        <v>718</v>
      </c>
      <c r="K182" s="16" t="s">
        <v>719</v>
      </c>
      <c r="L182" s="16" t="s">
        <v>720</v>
      </c>
      <c r="M182" s="12"/>
      <c r="N182" s="12"/>
      <c r="O182" s="12"/>
      <c r="P182" s="12"/>
      <c r="Q182" s="12"/>
      <c r="R182" s="12"/>
      <c r="S182" s="12"/>
      <c r="T182" s="12"/>
      <c r="U182" s="12"/>
    </row>
    <row r="183">
      <c r="A183" s="16" t="s">
        <v>721</v>
      </c>
      <c r="B183" s="22" t="s">
        <v>722</v>
      </c>
      <c r="C183" s="24" t="n">
        <v>12000</v>
      </c>
      <c r="D183" s="28" t="n">
        <v>98530</v>
      </c>
      <c r="E183" s="28" t="n">
        <v>639000</v>
      </c>
      <c r="F183" s="28" t="n">
        <v>807000</v>
      </c>
      <c r="G183" s="24" t="n">
        <v>485406</v>
      </c>
      <c r="H183" s="24" t="n">
        <v>148654</v>
      </c>
      <c r="I183" s="24" t="n">
        <v>60440</v>
      </c>
      <c r="J183" s="28" t="n">
        <v>49187</v>
      </c>
      <c r="K183" s="28" t="n">
        <v>230680</v>
      </c>
      <c r="L183" s="28" t="n">
        <v>6817</v>
      </c>
      <c r="M183" s="12"/>
      <c r="N183" s="12"/>
      <c r="O183" s="12"/>
      <c r="P183" s="12"/>
      <c r="Q183" s="12"/>
      <c r="R183" s="12"/>
      <c r="S183" s="12"/>
      <c r="T183" s="12"/>
      <c r="U183" s="12"/>
    </row>
    <row r="184">
      <c r="A184" s="16"/>
      <c r="B184" s="22" t="s">
        <v>723</v>
      </c>
      <c r="C184" s="28" t="n">
        <v>1619064</v>
      </c>
      <c r="D184" s="28" t="n">
        <v>55799</v>
      </c>
      <c r="E184" s="28" t="n">
        <v>103510</v>
      </c>
      <c r="F184" s="28" t="n">
        <v>291600</v>
      </c>
      <c r="G184" s="28" t="n">
        <v>14.9</v>
      </c>
      <c r="H184" s="24" t="n">
        <v>190805</v>
      </c>
      <c r="I184" s="24" t="n">
        <v>981355</v>
      </c>
      <c r="J184" s="28" t="n">
        <v>140397</v>
      </c>
      <c r="K184" s="28" t="n">
        <v>369876</v>
      </c>
      <c r="L184" s="28" t="n">
        <v>85066</v>
      </c>
      <c r="M184" s="12"/>
      <c r="N184" s="12"/>
      <c r="O184" s="12"/>
      <c r="P184" s="12"/>
      <c r="Q184" s="12"/>
      <c r="R184" s="12"/>
      <c r="S184" s="12"/>
      <c r="T184" s="12"/>
      <c r="U184" s="12"/>
    </row>
    <row r="185">
      <c r="A185" s="16"/>
      <c r="B185" s="22"/>
      <c r="C185" s="16" t="s">
        <v>724</v>
      </c>
      <c r="D185" s="16" t="s">
        <v>725</v>
      </c>
      <c r="E185" s="16" t="s">
        <v>726</v>
      </c>
      <c r="F185" s="16" t="s">
        <v>727</v>
      </c>
      <c r="G185" s="16" t="s">
        <v>728</v>
      </c>
      <c r="H185" s="16" t="s">
        <v>729</v>
      </c>
      <c r="I185" s="16" t="s">
        <v>730</v>
      </c>
      <c r="J185" s="16" t="s">
        <v>731</v>
      </c>
      <c r="K185" s="16" t="s">
        <v>732</v>
      </c>
      <c r="L185" s="16" t="s">
        <v>733</v>
      </c>
      <c r="M185" s="12"/>
      <c r="N185" s="12"/>
      <c r="O185" s="12"/>
      <c r="P185" s="12"/>
      <c r="Q185" s="12"/>
      <c r="R185" s="12"/>
      <c r="S185" s="12"/>
      <c r="T185" s="12"/>
      <c r="U185" s="12"/>
    </row>
    <row r="186">
      <c r="A186" s="16" t="s">
        <v>734</v>
      </c>
      <c r="B186" s="22" t="s">
        <v>735</v>
      </c>
      <c r="C186" s="28"/>
      <c r="D186" s="28"/>
      <c r="E186" s="28" t="n">
        <v>450013</v>
      </c>
      <c r="F186" s="28"/>
      <c r="G186" s="28" t="n">
        <v>133758</v>
      </c>
      <c r="H186" s="28" t="n">
        <v>59392</v>
      </c>
      <c r="I186" s="24" t="n">
        <v>52395</v>
      </c>
      <c r="J186" s="23" t="n">
        <v>55482</v>
      </c>
      <c r="K186" s="28" t="n">
        <v>103406</v>
      </c>
      <c r="L186" s="28" t="n">
        <v>5563</v>
      </c>
      <c r="M186" s="12"/>
      <c r="N186" s="12"/>
      <c r="O186" s="12"/>
      <c r="P186" s="12"/>
      <c r="Q186" s="12"/>
      <c r="R186" s="12"/>
      <c r="S186" s="12"/>
      <c r="T186" s="12"/>
      <c r="U186" s="12"/>
    </row>
    <row r="187">
      <c r="A187" s="16"/>
      <c r="B187" s="22" t="s">
        <v>736</v>
      </c>
      <c r="C187" s="28"/>
      <c r="D187" s="28"/>
      <c r="E187" s="28" t="n">
        <v>98375</v>
      </c>
      <c r="F187" s="28"/>
      <c r="G187" s="28"/>
      <c r="H187" s="24" t="n">
        <v>190284</v>
      </c>
      <c r="I187" s="24" t="n">
        <v>980402</v>
      </c>
      <c r="J187" s="28"/>
      <c r="K187" s="28" t="n">
        <v>369644</v>
      </c>
      <c r="L187" s="28" t="n">
        <v>85066</v>
      </c>
      <c r="M187" s="12"/>
      <c r="N187" s="12"/>
      <c r="O187" s="12"/>
      <c r="P187" s="12"/>
      <c r="Q187" s="12"/>
      <c r="R187" s="12"/>
      <c r="S187" s="12"/>
      <c r="T187" s="12"/>
      <c r="U187" s="12"/>
    </row>
    <row r="188">
      <c r="A188" s="16"/>
      <c r="B188" s="22"/>
      <c r="C188" s="16" t="s">
        <v>737</v>
      </c>
      <c r="D188" s="16" t="s">
        <v>738</v>
      </c>
      <c r="E188" s="16" t="s">
        <v>739</v>
      </c>
      <c r="F188" s="16" t="s">
        <v>740</v>
      </c>
      <c r="G188" s="16" t="s">
        <v>741</v>
      </c>
      <c r="H188" s="16" t="s">
        <v>742</v>
      </c>
      <c r="I188" s="16" t="s">
        <v>743</v>
      </c>
      <c r="J188" s="16" t="s">
        <v>744</v>
      </c>
      <c r="K188" s="16" t="s">
        <v>745</v>
      </c>
      <c r="L188" s="16" t="s">
        <v>746</v>
      </c>
      <c r="M188" s="12"/>
      <c r="N188" s="12"/>
      <c r="O188" s="12"/>
      <c r="P188" s="12"/>
      <c r="Q188" s="12"/>
      <c r="R188" s="12"/>
      <c r="S188" s="12"/>
      <c r="T188" s="12"/>
      <c r="U188" s="12"/>
    </row>
    <row r="189">
      <c r="A189" s="16" t="s">
        <v>747</v>
      </c>
      <c r="B189" s="22" t="s">
        <v>748</v>
      </c>
      <c r="C189" s="28"/>
      <c r="D189" s="28"/>
      <c r="E189" s="28" t="n">
        <v>44362</v>
      </c>
      <c r="F189" s="28"/>
      <c r="G189" s="28" t="n">
        <v>28664</v>
      </c>
      <c r="H189" s="28" t="n">
        <v>50559</v>
      </c>
      <c r="I189" s="24" t="n">
        <v>81484</v>
      </c>
      <c r="J189" s="23" t="n">
        <v>24441</v>
      </c>
      <c r="K189" s="28" t="n">
        <v>27945</v>
      </c>
      <c r="L189" s="28" t="n">
        <v>6337</v>
      </c>
      <c r="M189" s="12"/>
      <c r="N189" s="12"/>
      <c r="O189" s="12"/>
      <c r="P189" s="12"/>
      <c r="Q189" s="12"/>
      <c r="R189" s="12"/>
      <c r="S189" s="12"/>
      <c r="T189" s="12"/>
      <c r="U189" s="12"/>
    </row>
    <row r="190">
      <c r="A190" s="16"/>
      <c r="B190" s="22" t="s">
        <v>749</v>
      </c>
      <c r="C190" s="28"/>
      <c r="D190" s="28"/>
      <c r="E190" s="28" t="n">
        <v>93703</v>
      </c>
      <c r="F190" s="28"/>
      <c r="G190" s="28"/>
      <c r="H190" s="24" t="n">
        <v>189762</v>
      </c>
      <c r="I190" s="24" t="n">
        <v>979903</v>
      </c>
      <c r="J190" s="28"/>
      <c r="K190" s="28" t="n">
        <v>369367</v>
      </c>
      <c r="L190" s="28" t="n">
        <v>85066</v>
      </c>
      <c r="M190" s="12"/>
      <c r="N190" s="12"/>
      <c r="O190" s="12"/>
      <c r="P190" s="12"/>
      <c r="Q190" s="12"/>
      <c r="R190" s="12"/>
      <c r="S190" s="12"/>
      <c r="T190" s="12"/>
      <c r="U190" s="12"/>
    </row>
    <row r="191">
      <c r="A191" s="16"/>
      <c r="B191" s="22"/>
      <c r="C191" s="16" t="s">
        <v>750</v>
      </c>
      <c r="D191" s="16" t="s">
        <v>751</v>
      </c>
      <c r="E191" s="16" t="s">
        <v>752</v>
      </c>
      <c r="F191" s="16" t="s">
        <v>753</v>
      </c>
      <c r="G191" s="16" t="s">
        <v>754</v>
      </c>
      <c r="H191" s="16" t="s">
        <v>755</v>
      </c>
      <c r="I191" s="16" t="s">
        <v>756</v>
      </c>
      <c r="J191" s="16" t="s">
        <v>757</v>
      </c>
      <c r="K191" s="16" t="s">
        <v>758</v>
      </c>
      <c r="L191" s="16" t="s">
        <v>759</v>
      </c>
      <c r="M191" s="12"/>
      <c r="N191" s="12"/>
      <c r="O191" s="12"/>
      <c r="P191" s="12"/>
      <c r="Q191" s="12"/>
      <c r="R191" s="12"/>
      <c r="S191" s="12"/>
      <c r="T191" s="12"/>
      <c r="U191" s="12"/>
    </row>
    <row r="192">
      <c r="A192" s="16" t="s">
        <v>760</v>
      </c>
      <c r="B192" s="22" t="s">
        <v>761</v>
      </c>
      <c r="C192" s="28"/>
      <c r="D192" s="28"/>
      <c r="E192" s="28" t="n">
        <v>24204</v>
      </c>
      <c r="F192" s="28"/>
      <c r="G192" s="28" t="n">
        <v>30467</v>
      </c>
      <c r="H192" s="28" t="n">
        <v>74975</v>
      </c>
      <c r="I192" s="24" t="n">
        <v>68428</v>
      </c>
      <c r="J192" s="23" t="n">
        <v>23111</v>
      </c>
      <c r="K192" s="28" t="n">
        <v>17888</v>
      </c>
      <c r="L192" s="28" t="n">
        <v>4684</v>
      </c>
      <c r="M192" s="12"/>
      <c r="N192" s="12"/>
      <c r="O192" s="12"/>
      <c r="P192" s="12"/>
      <c r="Q192" s="12"/>
      <c r="R192" s="12"/>
      <c r="S192" s="12"/>
      <c r="T192" s="12"/>
      <c r="U192" s="12"/>
    </row>
    <row r="193">
      <c r="A193" s="16"/>
      <c r="B193" s="22" t="s">
        <v>762</v>
      </c>
      <c r="C193" s="28"/>
      <c r="D193" s="28"/>
      <c r="E193" s="28" t="n">
        <v>93588</v>
      </c>
      <c r="F193" s="23" t="n">
        <v>291000</v>
      </c>
      <c r="G193" s="28"/>
      <c r="H193" s="24" t="n">
        <v>189241</v>
      </c>
      <c r="I193" s="24" t="n">
        <v>979802</v>
      </c>
      <c r="J193" s="28"/>
      <c r="K193" s="28" t="n">
        <v>369356</v>
      </c>
      <c r="L193" s="28" t="n">
        <v>85066</v>
      </c>
      <c r="M193" s="12"/>
      <c r="N193" s="12"/>
      <c r="O193" s="12"/>
      <c r="P193" s="12"/>
      <c r="Q193" s="12"/>
      <c r="R193" s="12"/>
      <c r="S193" s="12"/>
      <c r="T193" s="12"/>
      <c r="U193" s="12"/>
    </row>
    <row r="194">
      <c r="A194" s="16"/>
      <c r="B194" s="22"/>
      <c r="C194" s="16" t="s">
        <v>763</v>
      </c>
      <c r="D194" s="16" t="s">
        <v>764</v>
      </c>
      <c r="E194" s="16" t="s">
        <v>765</v>
      </c>
      <c r="F194" s="16" t="s">
        <v>766</v>
      </c>
      <c r="G194" s="16" t="s">
        <v>767</v>
      </c>
      <c r="H194" s="16" t="s">
        <v>768</v>
      </c>
      <c r="I194" s="16" t="s">
        <v>769</v>
      </c>
      <c r="J194" s="16" t="s">
        <v>770</v>
      </c>
      <c r="K194" s="16" t="s">
        <v>771</v>
      </c>
      <c r="L194" s="16" t="s">
        <v>772</v>
      </c>
      <c r="M194" s="12"/>
      <c r="N194" s="12"/>
      <c r="O194" s="12"/>
      <c r="P194" s="12"/>
      <c r="Q194" s="12"/>
      <c r="R194" s="12"/>
      <c r="S194" s="12"/>
      <c r="T194" s="12"/>
      <c r="U194" s="12"/>
    </row>
    <row r="195">
      <c r="A195" s="16" t="s">
        <v>773</v>
      </c>
      <c r="B195" s="22" t="s">
        <v>774</v>
      </c>
      <c r="C195" s="28"/>
      <c r="D195" s="28"/>
      <c r="E195" s="28" t="n">
        <v>159197</v>
      </c>
      <c r="F195" s="28"/>
      <c r="G195" s="28"/>
      <c r="H195" s="28" t="n">
        <v>48317</v>
      </c>
      <c r="I195" s="24" t="n">
        <v>462511</v>
      </c>
      <c r="J195" s="23" t="n">
        <v>42628</v>
      </c>
      <c r="K195" s="28" t="n">
        <v>29076</v>
      </c>
      <c r="L195" s="28" t="n">
        <v>6003</v>
      </c>
      <c r="M195" s="12"/>
      <c r="N195" s="12"/>
      <c r="O195" s="12"/>
      <c r="P195" s="12"/>
      <c r="Q195" s="12"/>
      <c r="R195" s="12"/>
      <c r="S195" s="12"/>
      <c r="T195" s="12"/>
      <c r="U195" s="12"/>
    </row>
    <row r="196">
      <c r="A196" s="16"/>
      <c r="B196" s="22" t="s">
        <v>775</v>
      </c>
      <c r="C196" s="28"/>
      <c r="D196" s="23" t="n">
        <v>54500</v>
      </c>
      <c r="E196" s="28" t="n">
        <v>93482</v>
      </c>
      <c r="F196" s="23" t="n">
        <v>291000</v>
      </c>
      <c r="G196" s="28"/>
      <c r="H196" s="24" t="n">
        <v>188720</v>
      </c>
      <c r="I196" s="24" t="n">
        <v>979591</v>
      </c>
      <c r="J196" s="28"/>
      <c r="K196" s="28" t="n">
        <v>369306</v>
      </c>
      <c r="L196" s="28" t="n">
        <v>85066</v>
      </c>
      <c r="M196" s="12"/>
      <c r="N196" s="12"/>
      <c r="O196" s="12"/>
      <c r="P196" s="12"/>
      <c r="Q196" s="12"/>
      <c r="R196" s="12"/>
      <c r="S196" s="12"/>
      <c r="T196" s="12"/>
      <c r="U196" s="12"/>
    </row>
    <row r="197">
      <c r="A197" s="16"/>
      <c r="B197" s="22"/>
      <c r="C197" s="16" t="s">
        <v>776</v>
      </c>
      <c r="D197" s="16" t="s">
        <v>777</v>
      </c>
      <c r="E197" s="16" t="s">
        <v>778</v>
      </c>
      <c r="F197" s="16" t="s">
        <v>779</v>
      </c>
      <c r="G197" s="16" t="s">
        <v>780</v>
      </c>
      <c r="H197" s="16" t="s">
        <v>781</v>
      </c>
      <c r="I197" s="16" t="s">
        <v>782</v>
      </c>
      <c r="J197" s="16" t="s">
        <v>783</v>
      </c>
      <c r="K197" s="16" t="s">
        <v>784</v>
      </c>
      <c r="L197" s="16" t="s">
        <v>785</v>
      </c>
      <c r="M197" s="12"/>
      <c r="N197" s="12"/>
      <c r="O197" s="12"/>
      <c r="P197" s="12"/>
      <c r="Q197" s="12"/>
      <c r="R197" s="12"/>
      <c r="S197" s="12"/>
      <c r="T197" s="12"/>
      <c r="U197" s="12"/>
    </row>
    <row r="198">
      <c r="A198" s="16" t="s">
        <v>786</v>
      </c>
      <c r="B198" s="22" t="s">
        <v>787</v>
      </c>
      <c r="C198" s="28"/>
      <c r="D198" s="28"/>
      <c r="E198" s="28" t="n">
        <v>219568</v>
      </c>
      <c r="F198" s="28"/>
      <c r="G198" s="28"/>
      <c r="H198" s="28" t="n">
        <v>52063</v>
      </c>
      <c r="I198" s="24" t="n">
        <v>21683</v>
      </c>
      <c r="J198" s="23" t="n">
        <v>67010</v>
      </c>
      <c r="K198" s="28" t="n">
        <v>105171</v>
      </c>
      <c r="L198" s="28" t="n">
        <v>8256</v>
      </c>
      <c r="M198" s="12"/>
      <c r="N198" s="12"/>
      <c r="O198" s="12"/>
      <c r="P198" s="12"/>
      <c r="Q198" s="12"/>
      <c r="R198" s="12"/>
      <c r="S198" s="12"/>
      <c r="T198" s="12"/>
      <c r="U198" s="12"/>
    </row>
    <row r="199">
      <c r="A199" s="16"/>
      <c r="B199" s="22" t="s">
        <v>788</v>
      </c>
      <c r="C199" s="28"/>
      <c r="D199" s="28"/>
      <c r="E199" s="28" t="n">
        <v>93022</v>
      </c>
      <c r="F199" s="28"/>
      <c r="G199" s="28"/>
      <c r="H199" s="28" t="n">
        <v>188198</v>
      </c>
      <c r="I199" s="24" t="n">
        <v>979316</v>
      </c>
      <c r="J199" s="28"/>
      <c r="K199" s="28" t="n">
        <v>369248</v>
      </c>
      <c r="L199" s="28" t="n">
        <v>85066</v>
      </c>
      <c r="M199" s="12"/>
      <c r="N199" s="12"/>
      <c r="O199" s="12"/>
      <c r="P199" s="12"/>
      <c r="Q199" s="12"/>
      <c r="R199" s="12"/>
      <c r="S199" s="12"/>
      <c r="T199" s="12"/>
      <c r="U199" s="12"/>
    </row>
    <row r="200">
      <c r="A200" s="16"/>
      <c r="B200" s="22"/>
      <c r="C200" s="16" t="s">
        <v>789</v>
      </c>
      <c r="D200" s="16" t="s">
        <v>790</v>
      </c>
      <c r="E200" s="16" t="s">
        <v>791</v>
      </c>
      <c r="F200" s="16" t="s">
        <v>792</v>
      </c>
      <c r="G200" s="16" t="s">
        <v>793</v>
      </c>
      <c r="H200" s="16" t="s">
        <v>794</v>
      </c>
      <c r="I200" s="16" t="s">
        <v>795</v>
      </c>
      <c r="J200" s="16" t="s">
        <v>796</v>
      </c>
      <c r="K200" s="16" t="s">
        <v>797</v>
      </c>
      <c r="L200" s="16" t="s">
        <v>798</v>
      </c>
      <c r="M200" s="12"/>
      <c r="N200" s="12"/>
      <c r="O200" s="12"/>
      <c r="P200" s="12"/>
      <c r="Q200" s="12"/>
      <c r="R200" s="12"/>
      <c r="S200" s="12"/>
      <c r="T200" s="12"/>
      <c r="U200" s="12"/>
    </row>
    <row r="201">
      <c r="A201" s="16" t="s">
        <v>799</v>
      </c>
      <c r="B201" s="22" t="s">
        <v>800</v>
      </c>
      <c r="C201" s="28"/>
      <c r="D201" s="28"/>
      <c r="E201" s="28" t="n">
        <v>62990</v>
      </c>
      <c r="F201" s="28"/>
      <c r="G201" s="28"/>
      <c r="H201" s="28" t="n">
        <v>67851</v>
      </c>
      <c r="I201" s="24" t="n">
        <v>11728</v>
      </c>
      <c r="J201" s="23" t="n">
        <v>63700</v>
      </c>
      <c r="K201" s="28" t="n">
        <v>33063</v>
      </c>
      <c r="L201" s="28" t="n">
        <v>8324</v>
      </c>
      <c r="M201" s="12"/>
      <c r="N201" s="12"/>
      <c r="O201" s="12"/>
      <c r="P201" s="12"/>
      <c r="Q201" s="12"/>
      <c r="R201" s="12"/>
      <c r="S201" s="12"/>
      <c r="T201" s="12"/>
      <c r="U201" s="12"/>
    </row>
    <row r="202">
      <c r="A202" s="16"/>
      <c r="B202" s="22" t="s">
        <v>801</v>
      </c>
      <c r="C202" s="28"/>
      <c r="D202" s="28"/>
      <c r="E202" s="28" t="n">
        <v>92559</v>
      </c>
      <c r="F202" s="28"/>
      <c r="G202" s="28"/>
      <c r="H202" s="28" t="n">
        <v>187677</v>
      </c>
      <c r="I202" s="24" t="n">
        <v>978938</v>
      </c>
      <c r="J202" s="28"/>
      <c r="K202" s="28" t="n">
        <v>369173</v>
      </c>
      <c r="L202" s="28" t="n">
        <v>85066</v>
      </c>
      <c r="M202" s="12"/>
      <c r="N202" s="12"/>
      <c r="O202" s="12"/>
      <c r="P202" s="12"/>
      <c r="Q202" s="12"/>
      <c r="R202" s="12"/>
      <c r="S202" s="12"/>
      <c r="T202" s="12"/>
      <c r="U202" s="12"/>
    </row>
    <row r="203">
      <c r="A203" s="16"/>
      <c r="B203" s="22"/>
      <c r="C203" s="16" t="s">
        <v>802</v>
      </c>
      <c r="D203" s="16" t="s">
        <v>803</v>
      </c>
      <c r="E203" s="16" t="s">
        <v>804</v>
      </c>
      <c r="F203" s="16" t="s">
        <v>805</v>
      </c>
      <c r="G203" s="16" t="s">
        <v>806</v>
      </c>
      <c r="H203" s="16" t="s">
        <v>807</v>
      </c>
      <c r="I203" s="16" t="s">
        <v>808</v>
      </c>
      <c r="J203" s="16" t="s">
        <v>809</v>
      </c>
      <c r="K203" s="16" t="s">
        <v>810</v>
      </c>
      <c r="L203" s="16" t="s">
        <v>811</v>
      </c>
      <c r="M203" s="12"/>
      <c r="N203" s="12"/>
      <c r="O203" s="12"/>
      <c r="P203" s="12"/>
      <c r="Q203" s="12"/>
      <c r="R203" s="12"/>
      <c r="S203" s="12"/>
      <c r="T203" s="12"/>
      <c r="U203" s="12"/>
    </row>
    <row r="204">
      <c r="A204" s="16" t="s">
        <v>812</v>
      </c>
      <c r="B204" s="22" t="s">
        <v>813</v>
      </c>
      <c r="C204" s="28"/>
      <c r="D204" s="28"/>
      <c r="E204" s="28" t="n">
        <v>75398</v>
      </c>
      <c r="F204" s="28"/>
      <c r="G204" s="28"/>
      <c r="H204" s="28" t="n">
        <v>62254</v>
      </c>
      <c r="I204" s="24" t="n">
        <v>10294</v>
      </c>
      <c r="J204" s="23" t="n">
        <v>42628</v>
      </c>
      <c r="K204" s="28" t="n">
        <v>34162</v>
      </c>
      <c r="L204" s="28" t="n">
        <v>5395</v>
      </c>
      <c r="M204" s="12"/>
      <c r="N204" s="12"/>
      <c r="O204" s="12"/>
      <c r="P204" s="12"/>
      <c r="Q204" s="12"/>
      <c r="R204" s="12"/>
      <c r="S204" s="12"/>
      <c r="T204" s="12"/>
      <c r="U204" s="12"/>
    </row>
    <row r="205">
      <c r="A205" s="16"/>
      <c r="B205" s="22" t="s">
        <v>814</v>
      </c>
      <c r="C205" s="28"/>
      <c r="D205" s="28"/>
      <c r="E205" s="28" t="n">
        <v>92393</v>
      </c>
      <c r="F205" s="28"/>
      <c r="G205" s="28"/>
      <c r="H205" s="28" t="n">
        <v>187156</v>
      </c>
      <c r="I205" s="24" t="n">
        <v>978330</v>
      </c>
      <c r="J205" s="28"/>
      <c r="K205" s="28" t="n">
        <v>369134</v>
      </c>
      <c r="L205" s="28" t="n">
        <v>85066</v>
      </c>
      <c r="M205" s="12"/>
      <c r="N205" s="12"/>
      <c r="O205" s="12"/>
      <c r="P205" s="12"/>
      <c r="Q205" s="12"/>
      <c r="R205" s="12"/>
      <c r="S205" s="12"/>
      <c r="T205" s="12"/>
      <c r="U205" s="12"/>
    </row>
    <row r="206">
      <c r="A206" s="16"/>
      <c r="B206" s="22"/>
      <c r="C206" s="16" t="s">
        <v>815</v>
      </c>
      <c r="D206" s="16" t="s">
        <v>816</v>
      </c>
      <c r="E206" s="16" t="s">
        <v>817</v>
      </c>
      <c r="F206" s="16" t="s">
        <v>818</v>
      </c>
      <c r="G206" s="16" t="s">
        <v>819</v>
      </c>
      <c r="H206" s="16" t="s">
        <v>820</v>
      </c>
      <c r="I206" s="16" t="s">
        <v>821</v>
      </c>
      <c r="J206" s="16" t="s">
        <v>822</v>
      </c>
      <c r="K206" s="16" t="s">
        <v>823</v>
      </c>
      <c r="L206" s="16" t="s">
        <v>824</v>
      </c>
      <c r="M206" s="12"/>
      <c r="N206" s="12"/>
      <c r="O206" s="12"/>
      <c r="P206" s="12"/>
      <c r="Q206" s="12"/>
      <c r="R206" s="12"/>
      <c r="S206" s="12"/>
      <c r="T206" s="12"/>
      <c r="U206" s="12"/>
    </row>
    <row r="207">
      <c r="A207" s="16" t="s">
        <v>825</v>
      </c>
      <c r="B207" s="22" t="s">
        <v>826</v>
      </c>
      <c r="C207" s="28"/>
      <c r="D207" s="28" t="n">
        <v>384322</v>
      </c>
      <c r="E207" s="28" t="n">
        <v>10.5</v>
      </c>
      <c r="F207" s="28" t="n">
        <v>329000</v>
      </c>
      <c r="G207" s="24" t="n">
        <v>69277</v>
      </c>
      <c r="H207" s="28" t="n">
        <v>6378</v>
      </c>
      <c r="I207" s="24" t="n">
        <v>22480</v>
      </c>
      <c r="J207" s="28" t="n">
        <v>42581</v>
      </c>
      <c r="K207" s="28" t="n">
        <v>43574</v>
      </c>
      <c r="L207" s="28" t="n">
        <v>4974</v>
      </c>
      <c r="M207" s="12"/>
      <c r="N207" s="12"/>
      <c r="O207" s="12"/>
      <c r="P207" s="12"/>
      <c r="Q207" s="12"/>
      <c r="R207" s="12"/>
      <c r="S207" s="12"/>
      <c r="T207" s="12"/>
      <c r="U207" s="12"/>
    </row>
    <row r="208">
      <c r="A208" s="16"/>
      <c r="B208" s="22" t="s">
        <v>827</v>
      </c>
      <c r="C208" s="28"/>
      <c r="D208" s="28" t="n">
        <v>10636</v>
      </c>
      <c r="E208" s="28" t="n">
        <v>2405</v>
      </c>
      <c r="F208" s="28" t="n">
        <v>4453</v>
      </c>
      <c r="G208" s="28" t="n">
        <v>1539</v>
      </c>
      <c r="H208" s="28" t="n">
        <v>621</v>
      </c>
      <c r="I208" s="28" t="n">
        <v>333</v>
      </c>
      <c r="J208" s="28" t="n">
        <v>499</v>
      </c>
      <c r="K208" s="28" t="n">
        <v>239</v>
      </c>
      <c r="L208" s="28" t="n">
        <v>33</v>
      </c>
      <c r="M208" s="12"/>
      <c r="N208" s="12"/>
      <c r="O208" s="12"/>
      <c r="P208" s="12"/>
      <c r="Q208" s="12"/>
      <c r="R208" s="12"/>
      <c r="S208" s="12"/>
      <c r="T208" s="12"/>
      <c r="U208" s="12"/>
    </row>
    <row r="209">
      <c r="A209" s="16"/>
      <c r="B209" s="22" t="s">
        <v>828</v>
      </c>
      <c r="C209" s="28" t="n">
        <v>1619994</v>
      </c>
      <c r="D209" s="28" t="n">
        <v>53995</v>
      </c>
      <c r="E209" s="28" t="n">
        <v>92313</v>
      </c>
      <c r="F209" s="28" t="n">
        <v>283000</v>
      </c>
      <c r="G209" s="28" t="n">
        <v>143000</v>
      </c>
      <c r="H209" s="28" t="n">
        <v>186634</v>
      </c>
      <c r="I209" s="24" t="n">
        <v>977270</v>
      </c>
      <c r="J209" s="28" t="n">
        <v>138196</v>
      </c>
      <c r="K209" s="28" t="n">
        <v>369084</v>
      </c>
      <c r="L209" s="28" t="n">
        <v>85066</v>
      </c>
      <c r="M209" s="12"/>
      <c r="N209" s="12"/>
      <c r="O209" s="12"/>
      <c r="P209" s="12"/>
      <c r="Q209" s="12"/>
      <c r="R209" s="12"/>
      <c r="S209" s="12"/>
      <c r="T209" s="12"/>
      <c r="U209" s="12"/>
    </row>
    <row r="210">
      <c r="A210" s="16"/>
      <c r="B210" s="22"/>
      <c r="C210" s="16" t="s">
        <v>829</v>
      </c>
      <c r="D210" s="16" t="s">
        <v>830</v>
      </c>
      <c r="E210" s="16" t="s">
        <v>831</v>
      </c>
      <c r="F210" s="16" t="s">
        <v>832</v>
      </c>
      <c r="G210" s="16" t="s">
        <v>833</v>
      </c>
      <c r="H210" s="16" t="s">
        <v>834</v>
      </c>
      <c r="I210" s="16" t="s">
        <v>835</v>
      </c>
      <c r="J210" s="16" t="s">
        <v>836</v>
      </c>
      <c r="K210" s="16" t="s">
        <v>837</v>
      </c>
      <c r="L210" s="16" t="s">
        <v>838</v>
      </c>
      <c r="M210" s="12"/>
      <c r="N210" s="12"/>
      <c r="O210" s="12"/>
      <c r="P210" s="12"/>
      <c r="Q210" s="12"/>
      <c r="R210" s="12"/>
      <c r="S210" s="12"/>
      <c r="T210" s="12"/>
      <c r="U210" s="12"/>
    </row>
    <row r="211">
      <c r="A211" s="16" t="s">
        <v>839</v>
      </c>
      <c r="B211" s="22" t="s">
        <v>840</v>
      </c>
      <c r="C211" s="24" t="n">
        <v>14000</v>
      </c>
      <c r="D211" s="28" t="n">
        <v>522388</v>
      </c>
      <c r="E211" s="28" t="n">
        <v>13.5</v>
      </c>
      <c r="F211" s="28" t="n">
        <v>240000</v>
      </c>
      <c r="G211" s="24" t="n">
        <v>103623</v>
      </c>
      <c r="H211" s="24" t="n">
        <v>44366</v>
      </c>
      <c r="I211" s="24" t="n">
        <v>55829</v>
      </c>
      <c r="J211" s="28" t="n">
        <v>45729</v>
      </c>
      <c r="K211" s="28" t="n">
        <v>47569</v>
      </c>
      <c r="L211" s="28" t="n">
        <v>7791</v>
      </c>
      <c r="M211" s="12"/>
      <c r="N211" s="12"/>
      <c r="O211" s="12"/>
      <c r="P211" s="12"/>
      <c r="Q211" s="12"/>
      <c r="R211" s="12"/>
      <c r="S211" s="12"/>
      <c r="T211" s="12"/>
      <c r="U211" s="12"/>
    </row>
    <row r="212">
      <c r="A212" s="16"/>
      <c r="B212" s="22" t="s">
        <v>841</v>
      </c>
      <c r="C212" s="28" t="n">
        <v>40</v>
      </c>
      <c r="D212" s="28" t="n">
        <v>16815</v>
      </c>
      <c r="E212" s="28" t="n">
        <v>3924</v>
      </c>
      <c r="F212" s="28" t="n">
        <v>3374</v>
      </c>
      <c r="G212" s="28" t="n">
        <v>2278</v>
      </c>
      <c r="H212" s="28" t="n">
        <v>1696</v>
      </c>
      <c r="I212" s="28" t="n">
        <v>374</v>
      </c>
      <c r="J212" s="28" t="n">
        <v>831</v>
      </c>
      <c r="K212" s="28" t="n">
        <v>334</v>
      </c>
      <c r="L212" s="28" t="n">
        <v>27</v>
      </c>
      <c r="M212" s="12"/>
      <c r="N212" s="12"/>
      <c r="O212" s="12"/>
      <c r="P212" s="12"/>
      <c r="Q212" s="12"/>
      <c r="R212" s="12"/>
      <c r="S212" s="12"/>
      <c r="T212" s="12"/>
      <c r="U212" s="12"/>
    </row>
    <row r="213">
      <c r="A213" s="16"/>
      <c r="B213" s="22" t="s">
        <v>842</v>
      </c>
      <c r="C213" s="28" t="n">
        <v>1620071</v>
      </c>
      <c r="D213" s="28" t="n">
        <v>53353</v>
      </c>
      <c r="E213" s="28" t="n">
        <v>91747</v>
      </c>
      <c r="F213" s="28" t="n">
        <v>281000</v>
      </c>
      <c r="G213" s="28" t="n">
        <v>142000</v>
      </c>
      <c r="H213" s="24" t="n">
        <v>186113</v>
      </c>
      <c r="I213" s="24" t="n">
        <v>976192</v>
      </c>
      <c r="J213" s="28" t="n">
        <v>137801</v>
      </c>
      <c r="K213" s="28" t="n">
        <v>369009</v>
      </c>
      <c r="L213" s="28" t="n">
        <v>85066</v>
      </c>
      <c r="M213" s="12"/>
      <c r="N213" s="12"/>
      <c r="O213" s="12"/>
      <c r="P213" s="12"/>
      <c r="Q213" s="12"/>
      <c r="R213" s="12"/>
      <c r="S213" s="12"/>
      <c r="T213" s="12"/>
      <c r="U213" s="12"/>
    </row>
    <row r="214">
      <c r="A214" s="16"/>
      <c r="B214" s="22"/>
      <c r="C214" s="16" t="s">
        <v>843</v>
      </c>
      <c r="D214" s="16" t="s">
        <v>844</v>
      </c>
      <c r="E214" s="16" t="s">
        <v>845</v>
      </c>
      <c r="F214" s="16" t="s">
        <v>846</v>
      </c>
      <c r="G214" s="16" t="s">
        <v>847</v>
      </c>
      <c r="H214" s="16" t="s">
        <v>848</v>
      </c>
      <c r="I214" s="16" t="s">
        <v>849</v>
      </c>
      <c r="J214" s="16" t="s">
        <v>850</v>
      </c>
      <c r="K214" s="16" t="s">
        <v>851</v>
      </c>
      <c r="L214" s="16" t="s">
        <v>852</v>
      </c>
      <c r="M214" s="12"/>
      <c r="N214" s="12"/>
      <c r="O214" s="12"/>
      <c r="P214" s="12"/>
      <c r="Q214" s="12"/>
      <c r="R214" s="12"/>
      <c r="S214" s="12"/>
      <c r="T214" s="12"/>
      <c r="U214" s="12"/>
    </row>
    <row r="215">
      <c r="A215" s="16" t="s">
        <v>853</v>
      </c>
      <c r="B215" s="22" t="s">
        <v>854</v>
      </c>
      <c r="C215" s="24" t="n">
        <v>17000</v>
      </c>
      <c r="D215" s="28" t="n">
        <v>497019</v>
      </c>
      <c r="E215" s="28" t="n">
        <v>228000</v>
      </c>
      <c r="F215" s="28" t="n">
        <v>463000</v>
      </c>
      <c r="G215" s="24" t="n">
        <v>90868</v>
      </c>
      <c r="H215" s="24" t="n">
        <v>59954</v>
      </c>
      <c r="I215" s="24" t="n">
        <v>47659</v>
      </c>
      <c r="J215" s="28" t="n">
        <v>58860</v>
      </c>
      <c r="K215" s="28" t="n">
        <v>76215</v>
      </c>
      <c r="L215" s="24" t="n">
        <v>2228</v>
      </c>
      <c r="M215" s="12"/>
      <c r="N215" s="12"/>
      <c r="O215" s="12"/>
      <c r="P215" s="12"/>
      <c r="Q215" s="12"/>
      <c r="R215" s="12"/>
      <c r="S215" s="12"/>
      <c r="T215" s="12"/>
      <c r="U215" s="12"/>
    </row>
    <row r="216">
      <c r="A216" s="16"/>
      <c r="B216" s="22" t="s">
        <v>855</v>
      </c>
      <c r="C216" s="28" t="n">
        <v>55</v>
      </c>
      <c r="D216" s="28" t="n">
        <v>17626</v>
      </c>
      <c r="E216" s="28" t="n">
        <v>6173</v>
      </c>
      <c r="F216" s="28" t="n">
        <v>5413</v>
      </c>
      <c r="G216" s="28" t="n">
        <v>2291</v>
      </c>
      <c r="H216" s="28" t="n">
        <v>2064</v>
      </c>
      <c r="I216" s="28" t="n">
        <v>284</v>
      </c>
      <c r="J216" s="28" t="n">
        <v>1483</v>
      </c>
      <c r="K216" s="28" t="n">
        <v>685</v>
      </c>
      <c r="L216" s="28" t="n">
        <v>46</v>
      </c>
      <c r="M216" s="12"/>
      <c r="N216" s="12"/>
      <c r="O216" s="12"/>
      <c r="P216" s="12"/>
      <c r="Q216" s="12"/>
      <c r="R216" s="12"/>
      <c r="S216" s="12"/>
      <c r="T216" s="12"/>
      <c r="U216" s="12"/>
    </row>
    <row r="217">
      <c r="A217" s="16"/>
      <c r="B217" s="22" t="s">
        <v>856</v>
      </c>
      <c r="C217" s="28" t="n">
        <v>1620184</v>
      </c>
      <c r="D217" s="28" t="n">
        <v>51840</v>
      </c>
      <c r="E217" s="28" t="n">
        <v>91074</v>
      </c>
      <c r="F217" s="28" t="n">
        <v>280000</v>
      </c>
      <c r="G217" s="28" t="n">
        <v>142000</v>
      </c>
      <c r="H217" s="24" t="n">
        <v>185734</v>
      </c>
      <c r="I217" s="24" t="n">
        <v>975061</v>
      </c>
      <c r="J217" s="28" t="n">
        <v>137367</v>
      </c>
      <c r="K217" s="28" t="n">
        <v>368810</v>
      </c>
      <c r="L217" s="28" t="n">
        <v>85944</v>
      </c>
      <c r="M217" s="12"/>
      <c r="N217" s="12"/>
      <c r="O217" s="12"/>
      <c r="P217" s="12"/>
      <c r="Q217" s="12"/>
      <c r="R217" s="12"/>
      <c r="S217" s="12"/>
      <c r="T217" s="12"/>
      <c r="U217" s="12"/>
    </row>
    <row r="218">
      <c r="A218" s="16"/>
      <c r="B218" s="22"/>
      <c r="C218" s="16" t="s">
        <v>857</v>
      </c>
      <c r="D218" s="16" t="s">
        <v>858</v>
      </c>
      <c r="E218" s="16" t="s">
        <v>859</v>
      </c>
      <c r="F218" s="16" t="s">
        <v>860</v>
      </c>
      <c r="G218" s="16" t="s">
        <v>861</v>
      </c>
      <c r="H218" s="16" t="s">
        <v>862</v>
      </c>
      <c r="I218" s="16" t="s">
        <v>863</v>
      </c>
      <c r="J218" s="16" t="s">
        <v>864</v>
      </c>
      <c r="K218" s="16" t="s">
        <v>865</v>
      </c>
      <c r="L218" s="16" t="s">
        <v>866</v>
      </c>
      <c r="M218" s="12"/>
      <c r="N218" s="12"/>
      <c r="O218" s="12"/>
      <c r="P218" s="12"/>
      <c r="Q218" s="12"/>
      <c r="R218" s="12"/>
      <c r="S218" s="12"/>
      <c r="T218" s="12"/>
      <c r="U218" s="12"/>
    </row>
    <row r="219">
      <c r="A219" s="16" t="s">
        <v>867</v>
      </c>
      <c r="B219" s="22" t="s">
        <v>868</v>
      </c>
      <c r="C219" s="28" t="n">
        <v>12000</v>
      </c>
      <c r="D219" s="28" t="n">
        <v>906128</v>
      </c>
      <c r="E219" s="28" t="n">
        <v>373000</v>
      </c>
      <c r="F219" s="28" t="n">
        <v>677000</v>
      </c>
      <c r="G219" s="24" t="n">
        <v>109940</v>
      </c>
      <c r="H219" s="24" t="n">
        <v>62554</v>
      </c>
      <c r="I219" s="24" t="n">
        <v>75987</v>
      </c>
      <c r="J219" s="28" t="n">
        <v>125758</v>
      </c>
      <c r="K219" s="28" t="n">
        <v>392419</v>
      </c>
      <c r="L219" s="28" t="n">
        <v>6379</v>
      </c>
      <c r="M219" s="12"/>
      <c r="N219" s="12"/>
      <c r="O219" s="12"/>
      <c r="P219" s="12"/>
      <c r="Q219" s="12"/>
      <c r="R219" s="12"/>
      <c r="S219" s="12"/>
      <c r="T219" s="12"/>
      <c r="U219" s="12"/>
    </row>
    <row r="220">
      <c r="A220" s="16"/>
      <c r="B220" s="22" t="s">
        <v>869</v>
      </c>
      <c r="C220" s="28" t="n">
        <v>22</v>
      </c>
      <c r="D220" s="28" t="n">
        <v>73670</v>
      </c>
      <c r="E220" s="28" t="n">
        <v>12566</v>
      </c>
      <c r="F220" s="28" t="n">
        <v>9321</v>
      </c>
      <c r="G220" s="28" t="n">
        <v>2897</v>
      </c>
      <c r="H220" s="28" t="n">
        <v>2222</v>
      </c>
      <c r="I220" s="28" t="n">
        <v>393</v>
      </c>
      <c r="J220" s="28" t="n">
        <v>5405</v>
      </c>
      <c r="K220" s="28" t="n">
        <v>1979</v>
      </c>
      <c r="L220" s="28" t="n">
        <v>36</v>
      </c>
      <c r="M220" s="12"/>
      <c r="N220" s="12"/>
      <c r="O220" s="12"/>
      <c r="P220" s="12"/>
      <c r="Q220" s="12"/>
      <c r="R220" s="12"/>
      <c r="S220" s="12"/>
      <c r="T220" s="12"/>
      <c r="U220" s="12"/>
    </row>
    <row r="221">
      <c r="A221" s="16"/>
      <c r="B221" s="22" t="s">
        <v>870</v>
      </c>
      <c r="C221" s="28" t="n">
        <v>1620306</v>
      </c>
      <c r="D221" s="28" t="n">
        <v>50454</v>
      </c>
      <c r="E221" s="28" t="n">
        <v>90648</v>
      </c>
      <c r="F221" s="28" t="n">
        <v>279000</v>
      </c>
      <c r="G221" s="28" t="n">
        <v>142000</v>
      </c>
      <c r="H221" s="24" t="n">
        <v>185201</v>
      </c>
      <c r="I221" s="24" t="n">
        <v>974048</v>
      </c>
      <c r="J221" s="28" t="n">
        <v>136676</v>
      </c>
      <c r="K221" s="28" t="n">
        <v>368737</v>
      </c>
      <c r="L221" s="28" t="n">
        <v>85907</v>
      </c>
      <c r="M221" s="12"/>
      <c r="N221" s="12"/>
      <c r="O221" s="12"/>
      <c r="P221" s="12"/>
      <c r="Q221" s="12"/>
      <c r="R221" s="12"/>
      <c r="S221" s="12"/>
      <c r="T221" s="12"/>
      <c r="U221" s="12"/>
    </row>
    <row r="222">
      <c r="A222" s="16"/>
      <c r="B222" s="22"/>
      <c r="C222" s="16" t="s">
        <v>871</v>
      </c>
      <c r="D222" s="16" t="s">
        <v>872</v>
      </c>
      <c r="E222" s="16" t="s">
        <v>873</v>
      </c>
      <c r="F222" s="16" t="s">
        <v>874</v>
      </c>
      <c r="G222" s="16" t="s">
        <v>875</v>
      </c>
      <c r="H222" s="16" t="s">
        <v>876</v>
      </c>
      <c r="I222" s="16" t="s">
        <v>877</v>
      </c>
      <c r="J222" s="16" t="s">
        <v>878</v>
      </c>
      <c r="K222" s="16" t="s">
        <v>879</v>
      </c>
      <c r="L222" s="16" t="s">
        <v>880</v>
      </c>
      <c r="M222" s="12"/>
      <c r="N222" s="12"/>
      <c r="O222" s="12"/>
      <c r="P222" s="12"/>
      <c r="Q222" s="12"/>
      <c r="R222" s="12"/>
      <c r="S222" s="12"/>
      <c r="T222" s="12"/>
      <c r="U222" s="12"/>
    </row>
    <row r="223">
      <c r="A223" s="16" t="s">
        <v>881</v>
      </c>
      <c r="B223" s="22" t="s">
        <v>882</v>
      </c>
      <c r="C223" s="24" t="n">
        <v>36000</v>
      </c>
      <c r="D223" s="28" t="n">
        <v>995821</v>
      </c>
      <c r="E223" s="28" t="n">
        <v>322000</v>
      </c>
      <c r="F223" s="28" t="n">
        <v>687000</v>
      </c>
      <c r="G223" s="24" t="n">
        <v>146391</v>
      </c>
      <c r="H223" s="24" t="n">
        <v>174647</v>
      </c>
      <c r="I223" s="24" t="n">
        <v>79035</v>
      </c>
      <c r="J223" s="28" t="n">
        <v>67851</v>
      </c>
      <c r="K223" s="28" t="n">
        <v>316360</v>
      </c>
      <c r="L223" s="28" t="n">
        <v>7485</v>
      </c>
      <c r="M223" s="12"/>
      <c r="N223" s="12"/>
      <c r="O223" s="12"/>
      <c r="P223" s="12"/>
      <c r="Q223" s="12"/>
      <c r="R223" s="12"/>
      <c r="S223" s="12"/>
      <c r="T223" s="12"/>
      <c r="U223" s="12"/>
    </row>
    <row r="224">
      <c r="A224" s="16"/>
      <c r="B224" s="22" t="s">
        <v>883</v>
      </c>
      <c r="C224" s="28" t="n">
        <v>201</v>
      </c>
      <c r="D224" s="28" t="n">
        <v>34226</v>
      </c>
      <c r="E224" s="28" t="n">
        <v>13190</v>
      </c>
      <c r="F224" s="28" t="n">
        <v>10057</v>
      </c>
      <c r="G224" s="28" t="n">
        <v>3790</v>
      </c>
      <c r="H224" s="28" t="n">
        <v>7873</v>
      </c>
      <c r="I224" s="28" t="n">
        <v>813</v>
      </c>
      <c r="J224" s="28" t="n">
        <v>1502</v>
      </c>
      <c r="K224" s="28" t="n">
        <v>1836</v>
      </c>
      <c r="L224" s="28" t="n">
        <v>164</v>
      </c>
      <c r="M224" s="12"/>
      <c r="N224" s="12"/>
      <c r="O224" s="12"/>
      <c r="P224" s="12"/>
      <c r="Q224" s="12"/>
      <c r="R224" s="12"/>
      <c r="S224" s="12"/>
      <c r="T224" s="12"/>
      <c r="U224" s="12"/>
    </row>
    <row r="225">
      <c r="A225" s="16"/>
      <c r="B225" s="22" t="s">
        <v>884</v>
      </c>
      <c r="C225" s="28" t="n">
        <v>1620305</v>
      </c>
      <c r="D225" s="28" t="n">
        <v>46924</v>
      </c>
      <c r="E225" s="28" t="n">
        <v>89569</v>
      </c>
      <c r="F225" s="28" t="s">
        <v>885</v>
      </c>
      <c r="G225" s="28" t="n">
        <v>14.2</v>
      </c>
      <c r="H225" s="24" t="n">
        <v>184567</v>
      </c>
      <c r="I225" s="24" t="n">
        <v>973285</v>
      </c>
      <c r="J225" s="28" t="n">
        <v>134981</v>
      </c>
      <c r="K225" s="28" t="n">
        <v>368487</v>
      </c>
      <c r="L225" s="28" t="n">
        <v>85882</v>
      </c>
      <c r="M225" s="12"/>
      <c r="N225" s="12"/>
      <c r="O225" s="12"/>
      <c r="P225" s="12"/>
      <c r="Q225" s="12"/>
      <c r="R225" s="12"/>
      <c r="S225" s="12"/>
      <c r="T225" s="12"/>
      <c r="U225" s="12"/>
    </row>
    <row r="226">
      <c r="A226" s="16"/>
      <c r="B226" s="22"/>
      <c r="C226" s="16" t="s">
        <v>886</v>
      </c>
      <c r="D226" s="16" t="s">
        <v>887</v>
      </c>
      <c r="E226" s="16" t="s">
        <v>888</v>
      </c>
      <c r="F226" s="16" t="s">
        <v>889</v>
      </c>
      <c r="G226" s="16" t="s">
        <v>890</v>
      </c>
      <c r="H226" s="16" t="s">
        <v>891</v>
      </c>
      <c r="I226" s="16" t="s">
        <v>892</v>
      </c>
      <c r="J226" s="16" t="s">
        <v>893</v>
      </c>
      <c r="K226" s="16" t="s">
        <v>894</v>
      </c>
      <c r="L226" s="16" t="s">
        <v>895</v>
      </c>
      <c r="M226" s="12"/>
      <c r="N226" s="12"/>
      <c r="O226" s="12"/>
      <c r="P226" s="12"/>
      <c r="Q226" s="12"/>
      <c r="R226" s="12"/>
      <c r="S226" s="12"/>
      <c r="T226" s="12"/>
      <c r="U226" s="12"/>
    </row>
    <row r="227">
      <c r="A227" s="16" t="s">
        <v>896</v>
      </c>
      <c r="B227" s="22" t="s">
        <v>897</v>
      </c>
      <c r="C227" s="24" t="n">
        <v>11000</v>
      </c>
      <c r="D227" s="28" t="n">
        <v>452093</v>
      </c>
      <c r="E227" s="28" t="n">
        <v>160000</v>
      </c>
      <c r="F227" s="28" t="n">
        <v>869000</v>
      </c>
      <c r="G227" s="24" t="n">
        <v>131895</v>
      </c>
      <c r="H227" s="24" t="n">
        <v>54426</v>
      </c>
      <c r="I227" s="24" t="n">
        <v>114541</v>
      </c>
      <c r="J227" s="28" t="n">
        <v>35807</v>
      </c>
      <c r="K227" s="28" t="n">
        <v>54978</v>
      </c>
      <c r="L227" s="28" t="n">
        <v>7984</v>
      </c>
      <c r="M227" s="12"/>
      <c r="N227" s="12"/>
      <c r="O227" s="12"/>
      <c r="P227" s="12"/>
      <c r="Q227" s="12"/>
      <c r="R227" s="12"/>
      <c r="S227" s="12"/>
      <c r="T227" s="12"/>
      <c r="U227" s="12"/>
    </row>
    <row r="228">
      <c r="A228" s="16"/>
      <c r="B228" s="22" t="s">
        <v>898</v>
      </c>
      <c r="C228" s="28" t="n">
        <v>31</v>
      </c>
      <c r="D228" s="28" t="n">
        <v>11169</v>
      </c>
      <c r="E228" s="28" t="n">
        <v>7386</v>
      </c>
      <c r="F228" s="28" t="n">
        <v>10349</v>
      </c>
      <c r="G228" s="28" t="n">
        <v>3171</v>
      </c>
      <c r="H228" s="28" t="n">
        <v>1643</v>
      </c>
      <c r="I228" s="28" t="n">
        <v>1024</v>
      </c>
      <c r="J228" s="28" t="n">
        <v>315</v>
      </c>
      <c r="K228" s="28" t="n">
        <v>287</v>
      </c>
      <c r="L228" s="28" t="n">
        <v>119</v>
      </c>
      <c r="M228" s="12"/>
      <c r="N228" s="12"/>
      <c r="O228" s="12"/>
      <c r="P228" s="12"/>
      <c r="Q228" s="12"/>
      <c r="R228" s="12"/>
      <c r="S228" s="12"/>
      <c r="T228" s="12"/>
      <c r="U228" s="12"/>
    </row>
    <row r="229">
      <c r="A229" s="16"/>
      <c r="B229" s="22" t="s">
        <v>899</v>
      </c>
      <c r="C229" s="28" t="n">
        <v>1620568</v>
      </c>
      <c r="D229" s="28" t="n">
        <v>42756</v>
      </c>
      <c r="E229" s="28" t="n">
        <v>86712</v>
      </c>
      <c r="F229" s="28" t="n">
        <v>274000</v>
      </c>
      <c r="G229" s="28" t="n">
        <v>14.2</v>
      </c>
      <c r="H229" s="24" t="n">
        <v>181977</v>
      </c>
      <c r="I229" s="24" t="n">
        <v>972712</v>
      </c>
      <c r="J229" s="28" t="n">
        <v>134718</v>
      </c>
      <c r="K229" s="28" t="n">
        <v>368198</v>
      </c>
      <c r="L229" s="28" t="n">
        <v>85853</v>
      </c>
      <c r="M229" s="12"/>
      <c r="N229" s="12"/>
      <c r="O229" s="12"/>
      <c r="P229" s="12"/>
      <c r="Q229" s="12"/>
      <c r="R229" s="12"/>
      <c r="S229" s="12"/>
      <c r="T229" s="12"/>
      <c r="U229" s="12"/>
    </row>
    <row r="230">
      <c r="A230" s="16"/>
      <c r="B230" s="22"/>
      <c r="C230" s="16" t="s">
        <v>900</v>
      </c>
      <c r="D230" s="16" t="s">
        <v>901</v>
      </c>
      <c r="E230" s="16" t="s">
        <v>902</v>
      </c>
      <c r="F230" s="16" t="s">
        <v>903</v>
      </c>
      <c r="G230" s="16" t="s">
        <v>904</v>
      </c>
      <c r="H230" s="16" t="s">
        <v>905</v>
      </c>
      <c r="I230" s="16" t="s">
        <v>906</v>
      </c>
      <c r="J230" s="16" t="s">
        <v>907</v>
      </c>
      <c r="K230" s="16" t="s">
        <v>908</v>
      </c>
      <c r="L230" s="16" t="s">
        <v>909</v>
      </c>
      <c r="M230" s="12"/>
      <c r="N230" s="12"/>
      <c r="O230" s="12"/>
      <c r="P230" s="12"/>
      <c r="Q230" s="12"/>
      <c r="R230" s="12"/>
      <c r="S230" s="12"/>
      <c r="T230" s="12"/>
      <c r="U230" s="12"/>
    </row>
    <row r="231">
      <c r="A231" s="16" t="s">
        <v>910</v>
      </c>
      <c r="B231" s="22" t="s">
        <v>911</v>
      </c>
      <c r="C231" s="24" t="n">
        <v>29000</v>
      </c>
      <c r="D231" s="28" t="n">
        <v>280798</v>
      </c>
      <c r="E231" s="28" t="n">
        <v>131000</v>
      </c>
      <c r="F231" s="28" t="n">
        <v>321000</v>
      </c>
      <c r="G231" s="24" t="n">
        <v>115925</v>
      </c>
      <c r="H231" s="24" t="n">
        <v>65378</v>
      </c>
      <c r="I231" s="24" t="n">
        <v>102132</v>
      </c>
      <c r="J231" s="28" t="n">
        <v>35333</v>
      </c>
      <c r="K231" s="28" t="n">
        <v>55885</v>
      </c>
      <c r="L231" s="28" t="n">
        <v>18248</v>
      </c>
      <c r="M231" s="12"/>
      <c r="N231" s="12"/>
      <c r="O231" s="12"/>
      <c r="P231" s="12"/>
      <c r="Q231" s="12"/>
      <c r="R231" s="12"/>
      <c r="S231" s="12"/>
      <c r="T231" s="12"/>
      <c r="U231" s="12"/>
    </row>
    <row r="232">
      <c r="A232" s="16"/>
      <c r="B232" s="22" t="s">
        <v>912</v>
      </c>
      <c r="C232" s="28" t="n">
        <v>51</v>
      </c>
      <c r="D232" s="28" t="n">
        <v>1762</v>
      </c>
      <c r="E232" s="28" t="n">
        <v>4502</v>
      </c>
      <c r="F232" s="28" t="n">
        <v>2916</v>
      </c>
      <c r="G232" s="28" t="n">
        <v>2685</v>
      </c>
      <c r="H232" s="28" t="n">
        <v>1348</v>
      </c>
      <c r="I232" s="28" t="n">
        <v>796</v>
      </c>
      <c r="J232" s="28" t="n">
        <v>270</v>
      </c>
      <c r="K232" s="28" t="n">
        <v>451</v>
      </c>
      <c r="L232" s="28" t="n">
        <v>91</v>
      </c>
      <c r="M232" s="12"/>
      <c r="N232" s="12"/>
      <c r="O232" s="12"/>
      <c r="P232" s="12"/>
      <c r="Q232" s="12"/>
      <c r="R232" s="12"/>
      <c r="S232" s="12"/>
      <c r="T232" s="12"/>
      <c r="U232" s="12"/>
    </row>
    <row r="233">
      <c r="A233" s="16"/>
      <c r="B233" s="22" t="s">
        <v>913</v>
      </c>
      <c r="C233" s="28" t="n">
        <v>1620468</v>
      </c>
      <c r="D233" s="28" t="n">
        <v>40762</v>
      </c>
      <c r="E233" s="28" t="n">
        <v>85648</v>
      </c>
      <c r="F233" s="28" t="n">
        <v>273000</v>
      </c>
      <c r="G233" s="28" t="n">
        <v>141000</v>
      </c>
      <c r="H233" s="24" t="n">
        <v>181617</v>
      </c>
      <c r="I233" s="24" t="n">
        <v>972316</v>
      </c>
      <c r="J233" s="28" t="n">
        <v>134554</v>
      </c>
      <c r="K233" s="28" t="n">
        <v>368104</v>
      </c>
      <c r="L233" s="28" t="n">
        <v>85804</v>
      </c>
      <c r="M233" s="12"/>
      <c r="N233" s="12"/>
      <c r="O233" s="12"/>
      <c r="P233" s="12"/>
      <c r="Q233" s="12"/>
      <c r="R233" s="12"/>
      <c r="S233" s="12"/>
      <c r="T233" s="12"/>
      <c r="U233" s="12"/>
    </row>
    <row r="234">
      <c r="A234" s="16"/>
      <c r="B234" s="22"/>
      <c r="C234" s="16" t="s">
        <v>914</v>
      </c>
      <c r="D234" s="16" t="s">
        <v>915</v>
      </c>
      <c r="E234" s="16" t="s">
        <v>916</v>
      </c>
      <c r="F234" s="16" t="s">
        <v>917</v>
      </c>
      <c r="G234" s="16" t="s">
        <v>918</v>
      </c>
      <c r="H234" s="16" t="s">
        <v>919</v>
      </c>
      <c r="I234" s="16" t="s">
        <v>920</v>
      </c>
      <c r="J234" s="16" t="s">
        <v>921</v>
      </c>
      <c r="K234" s="16" t="s">
        <v>922</v>
      </c>
      <c r="L234" s="16" t="s">
        <v>923</v>
      </c>
      <c r="M234" s="12"/>
      <c r="N234" s="12"/>
      <c r="O234" s="12"/>
      <c r="P234" s="12"/>
      <c r="Q234" s="12"/>
      <c r="R234" s="12"/>
      <c r="S234" s="12"/>
      <c r="T234" s="12"/>
      <c r="U234" s="12"/>
    </row>
    <row r="235">
      <c r="A235" s="16" t="s">
        <v>924</v>
      </c>
      <c r="B235" s="22" t="s">
        <v>925</v>
      </c>
      <c r="C235" s="24" t="n">
        <v>65300</v>
      </c>
      <c r="D235" s="28" t="n">
        <v>340534</v>
      </c>
      <c r="E235" s="28" t="n">
        <v>192000</v>
      </c>
      <c r="F235" s="28" t="n">
        <v>498000</v>
      </c>
      <c r="G235" s="24" t="n">
        <v>124391</v>
      </c>
      <c r="H235" s="24" t="n">
        <v>51076</v>
      </c>
      <c r="I235" s="24" t="n">
        <v>266080</v>
      </c>
      <c r="J235" s="28" t="n">
        <v>59755</v>
      </c>
      <c r="K235" s="28" t="n">
        <v>163844</v>
      </c>
      <c r="L235" s="28" t="n">
        <v>21116</v>
      </c>
      <c r="M235" s="12"/>
      <c r="N235" s="12"/>
      <c r="O235" s="12"/>
      <c r="P235" s="12"/>
      <c r="Q235" s="12"/>
      <c r="R235" s="12"/>
      <c r="S235" s="12"/>
      <c r="T235" s="12"/>
      <c r="U235" s="12"/>
    </row>
    <row r="236">
      <c r="A236" s="16"/>
      <c r="B236" s="22" t="s">
        <v>926</v>
      </c>
      <c r="C236" s="28" t="n">
        <v>102</v>
      </c>
      <c r="D236" s="28" t="n">
        <v>2310</v>
      </c>
      <c r="E236" s="28" t="n">
        <v>5262</v>
      </c>
      <c r="F236" s="28" t="n">
        <v>5031</v>
      </c>
      <c r="G236" s="28" t="n">
        <v>2793</v>
      </c>
      <c r="H236" s="28" t="n">
        <v>822</v>
      </c>
      <c r="I236" s="28" t="n">
        <v>1658</v>
      </c>
      <c r="J236" s="28" t="n">
        <v>548</v>
      </c>
      <c r="K236" s="28" t="n">
        <v>508</v>
      </c>
      <c r="L236" s="28" t="n">
        <v>104</v>
      </c>
      <c r="M236" s="12"/>
      <c r="N236" s="12"/>
      <c r="O236" s="12"/>
      <c r="P236" s="12"/>
      <c r="Q236" s="12"/>
      <c r="R236" s="12"/>
      <c r="S236" s="12"/>
      <c r="T236" s="12"/>
      <c r="U236" s="12"/>
    </row>
    <row r="237">
      <c r="A237" s="16"/>
      <c r="B237" s="22" t="s">
        <v>927</v>
      </c>
      <c r="C237" s="28" t="n">
        <v>1620568</v>
      </c>
      <c r="D237" s="28" t="n">
        <v>40599</v>
      </c>
      <c r="E237" s="28" t="n">
        <v>85294</v>
      </c>
      <c r="F237" s="28" t="n">
        <v>273000</v>
      </c>
      <c r="G237" s="28" t="n">
        <v>141000</v>
      </c>
      <c r="H237" s="24" t="n">
        <v>181112</v>
      </c>
      <c r="I237" s="24" t="n">
        <v>971658</v>
      </c>
      <c r="J237" s="28" t="n">
        <v>134461</v>
      </c>
      <c r="K237" s="28" t="n">
        <v>367939</v>
      </c>
      <c r="L237" s="28" t="n">
        <v>85782</v>
      </c>
      <c r="M237" s="12"/>
      <c r="N237" s="12"/>
      <c r="O237" s="12"/>
      <c r="P237" s="12"/>
      <c r="Q237" s="12"/>
      <c r="R237" s="12"/>
      <c r="S237" s="12"/>
      <c r="T237" s="12"/>
      <c r="U237" s="12"/>
    </row>
    <row r="238">
      <c r="A238" s="16"/>
      <c r="B238" s="22"/>
      <c r="C238" s="16" t="s">
        <v>928</v>
      </c>
      <c r="D238" s="16" t="s">
        <v>929</v>
      </c>
      <c r="E238" s="16" t="s">
        <v>930</v>
      </c>
      <c r="F238" s="16" t="s">
        <v>931</v>
      </c>
      <c r="G238" s="16" t="s">
        <v>932</v>
      </c>
      <c r="H238" s="16" t="s">
        <v>933</v>
      </c>
      <c r="I238" s="16" t="s">
        <v>934</v>
      </c>
      <c r="J238" s="16" t="s">
        <v>935</v>
      </c>
      <c r="K238" s="16" t="s">
        <v>936</v>
      </c>
      <c r="L238" s="16" t="s">
        <v>937</v>
      </c>
      <c r="M238" s="12"/>
      <c r="N238" s="12"/>
      <c r="O238" s="12"/>
      <c r="P238" s="12"/>
      <c r="Q238" s="12"/>
      <c r="R238" s="12"/>
      <c r="S238" s="12"/>
      <c r="T238" s="12"/>
      <c r="U238" s="12"/>
    </row>
    <row r="239">
      <c r="A239" s="16" t="s">
        <v>938</v>
      </c>
      <c r="B239" s="22" t="s">
        <v>939</v>
      </c>
      <c r="C239" s="24" t="n">
        <v>14800</v>
      </c>
      <c r="D239" s="28" t="n">
        <v>261544</v>
      </c>
      <c r="E239" s="28" t="n">
        <v>259000</v>
      </c>
      <c r="F239" s="28" t="n">
        <v>793000</v>
      </c>
      <c r="G239" s="24" t="n">
        <v>190196</v>
      </c>
      <c r="H239" s="24" t="n">
        <v>71407</v>
      </c>
      <c r="I239" s="24" t="n">
        <v>141261</v>
      </c>
      <c r="J239" s="28" t="n">
        <v>67071</v>
      </c>
      <c r="K239" s="28" t="n">
        <v>251925</v>
      </c>
      <c r="L239" s="28" t="n">
        <v>14909</v>
      </c>
      <c r="M239" s="12"/>
      <c r="N239" s="12"/>
      <c r="O239" s="12"/>
      <c r="P239" s="12"/>
      <c r="Q239" s="12"/>
      <c r="R239" s="12"/>
      <c r="S239" s="12"/>
      <c r="T239" s="12"/>
      <c r="U239" s="12"/>
    </row>
    <row r="240">
      <c r="A240" s="16"/>
      <c r="B240" s="22" t="s">
        <v>940</v>
      </c>
      <c r="C240" s="28" t="n">
        <v>43</v>
      </c>
      <c r="D240" s="28" t="n">
        <v>2207</v>
      </c>
      <c r="E240" s="28" t="n">
        <v>8565</v>
      </c>
      <c r="F240" s="28" t="n">
        <v>6794</v>
      </c>
      <c r="G240" s="28" t="n">
        <v>4162</v>
      </c>
      <c r="H240" s="28" t="n">
        <v>1270</v>
      </c>
      <c r="I240" s="28" t="n">
        <v>947</v>
      </c>
      <c r="J240" s="28" t="n">
        <v>350</v>
      </c>
      <c r="K240" s="28" t="n">
        <v>729</v>
      </c>
      <c r="L240" s="28" t="n">
        <v>104</v>
      </c>
      <c r="M240" s="12"/>
      <c r="N240" s="12"/>
      <c r="O240" s="12"/>
      <c r="P240" s="12"/>
      <c r="Q240" s="12"/>
      <c r="R240" s="12"/>
      <c r="S240" s="12"/>
      <c r="T240" s="12"/>
      <c r="U240" s="12"/>
    </row>
    <row r="241">
      <c r="A241" s="16"/>
      <c r="B241" s="22" t="s">
        <v>941</v>
      </c>
      <c r="C241" s="28" t="n">
        <v>1620651</v>
      </c>
      <c r="D241" s="28" t="n">
        <v>40493</v>
      </c>
      <c r="E241" s="28" t="n">
        <v>84995</v>
      </c>
      <c r="F241" s="28" t="s">
        <v>942</v>
      </c>
      <c r="G241" s="28" t="n">
        <v>140000</v>
      </c>
      <c r="H241" s="24" t="n">
        <v>181066</v>
      </c>
      <c r="I241" s="24" t="n">
        <v>970763</v>
      </c>
      <c r="J241" s="28" t="n">
        <v>134253</v>
      </c>
      <c r="K241" s="28" t="n">
        <v>367864</v>
      </c>
      <c r="L241" s="28" t="n">
        <v>85759</v>
      </c>
      <c r="M241" s="12"/>
      <c r="N241" s="12"/>
      <c r="O241" s="12"/>
      <c r="P241" s="12"/>
      <c r="Q241" s="12"/>
      <c r="R241" s="12"/>
      <c r="S241" s="12"/>
      <c r="T241" s="12"/>
      <c r="U241" s="12"/>
    </row>
    <row r="242">
      <c r="A242" s="16"/>
      <c r="B242" s="22"/>
      <c r="C242" s="16" t="s">
        <v>943</v>
      </c>
      <c r="D242" s="16" t="s">
        <v>944</v>
      </c>
      <c r="E242" s="16" t="s">
        <v>945</v>
      </c>
      <c r="F242" s="16" t="s">
        <v>946</v>
      </c>
      <c r="G242" s="16" t="s">
        <v>947</v>
      </c>
      <c r="H242" s="16" t="s">
        <v>948</v>
      </c>
      <c r="I242" s="16" t="s">
        <v>949</v>
      </c>
      <c r="J242" s="16" t="s">
        <v>950</v>
      </c>
      <c r="K242" s="16" t="s">
        <v>951</v>
      </c>
      <c r="L242" s="16" t="s">
        <v>952</v>
      </c>
      <c r="M242" s="12"/>
      <c r="N242" s="12"/>
      <c r="O242" s="12"/>
      <c r="P242" s="12"/>
      <c r="Q242" s="12"/>
      <c r="R242" s="12"/>
      <c r="S242" s="12"/>
      <c r="T242" s="12"/>
      <c r="U242" s="12"/>
    </row>
    <row r="243">
      <c r="A243" s="16" t="s">
        <v>953</v>
      </c>
      <c r="B243" s="22" t="s">
        <v>954</v>
      </c>
      <c r="C243" s="24" t="n">
        <v>18656</v>
      </c>
      <c r="D243" s="28" t="n">
        <v>180422</v>
      </c>
      <c r="E243" s="28" t="n">
        <v>576000</v>
      </c>
      <c r="F243" s="28" t="n">
        <v>49.9</v>
      </c>
      <c r="G243" s="24" t="n">
        <v>130505</v>
      </c>
      <c r="H243" s="24" t="n">
        <v>82756</v>
      </c>
      <c r="I243" s="24" t="n">
        <v>217619</v>
      </c>
      <c r="J243" s="28" t="n">
        <v>84364</v>
      </c>
      <c r="K243" s="28" t="n">
        <v>209699</v>
      </c>
      <c r="L243" s="28" t="n">
        <v>8210</v>
      </c>
      <c r="M243" s="12"/>
      <c r="N243" s="12"/>
      <c r="O243" s="12"/>
      <c r="P243" s="12"/>
      <c r="Q243" s="12"/>
      <c r="R243" s="12"/>
      <c r="S243" s="12"/>
      <c r="T243" s="12"/>
      <c r="U243" s="12"/>
    </row>
    <row r="244">
      <c r="A244" s="16"/>
      <c r="B244" s="22" t="s">
        <v>955</v>
      </c>
      <c r="C244" s="28" t="n">
        <v>30</v>
      </c>
      <c r="D244" s="28" t="n">
        <v>2460</v>
      </c>
      <c r="E244" s="28" t="n">
        <v>13324</v>
      </c>
      <c r="F244" s="28" t="n">
        <v>4720</v>
      </c>
      <c r="G244" s="28" t="n">
        <v>3328</v>
      </c>
      <c r="H244" s="28" t="n">
        <v>1693</v>
      </c>
      <c r="I244" s="28" t="n">
        <v>2061</v>
      </c>
      <c r="J244" s="28" t="n">
        <v>1402</v>
      </c>
      <c r="K244" s="28" t="n">
        <v>2320</v>
      </c>
      <c r="L244" s="28" t="n">
        <v>80</v>
      </c>
      <c r="M244" s="12"/>
      <c r="N244" s="12"/>
      <c r="O244" s="12"/>
      <c r="P244" s="12"/>
      <c r="Q244" s="12"/>
      <c r="R244" s="12"/>
      <c r="S244" s="12"/>
      <c r="T244" s="12"/>
      <c r="U244" s="12"/>
    </row>
    <row r="245">
      <c r="A245" s="16"/>
      <c r="B245" s="22" t="s">
        <v>956</v>
      </c>
      <c r="C245" s="28" t="n">
        <v>1619086</v>
      </c>
      <c r="D245" s="28" t="n">
        <v>40303</v>
      </c>
      <c r="E245" s="28" t="n">
        <v>84529</v>
      </c>
      <c r="F245" s="28" t="n">
        <v>273000</v>
      </c>
      <c r="G245" s="28" t="n">
        <v>140000</v>
      </c>
      <c r="H245" s="24" t="n">
        <v>180868</v>
      </c>
      <c r="I245" s="24" t="n">
        <v>969841</v>
      </c>
      <c r="J245" s="28" t="n">
        <v>134101</v>
      </c>
      <c r="K245" s="28" t="n">
        <v>367764</v>
      </c>
      <c r="L245" s="28" t="n">
        <v>85721</v>
      </c>
      <c r="M245" s="12"/>
      <c r="N245" s="12"/>
      <c r="O245" s="12"/>
      <c r="P245" s="12"/>
      <c r="Q245" s="12"/>
      <c r="R245" s="12"/>
      <c r="S245" s="12"/>
      <c r="T245" s="12"/>
      <c r="U245" s="12"/>
    </row>
    <row r="246">
      <c r="A246" s="16"/>
      <c r="B246" s="22"/>
      <c r="C246" s="16" t="s">
        <v>957</v>
      </c>
      <c r="D246" s="16" t="s">
        <v>958</v>
      </c>
      <c r="E246" s="16" t="s">
        <v>959</v>
      </c>
      <c r="F246" s="16" t="s">
        <v>960</v>
      </c>
      <c r="G246" s="16" t="s">
        <v>961</v>
      </c>
      <c r="H246" s="16" t="s">
        <v>962</v>
      </c>
      <c r="I246" s="16" t="s">
        <v>963</v>
      </c>
      <c r="J246" s="16" t="s">
        <v>964</v>
      </c>
      <c r="K246" s="16" t="s">
        <v>965</v>
      </c>
      <c r="L246" s="16" t="s">
        <v>966</v>
      </c>
      <c r="M246" s="12"/>
      <c r="N246" s="12"/>
      <c r="O246" s="12"/>
      <c r="P246" s="12"/>
      <c r="Q246" s="12"/>
      <c r="R246" s="12"/>
      <c r="S246" s="12"/>
      <c r="T246" s="12"/>
      <c r="U246" s="12"/>
    </row>
    <row r="247">
      <c r="A247" s="16" t="s">
        <v>967</v>
      </c>
      <c r="B247" s="22" t="s">
        <v>968</v>
      </c>
      <c r="C247" s="28" t="n">
        <v>17000</v>
      </c>
      <c r="D247" s="28" t="n">
        <v>128274</v>
      </c>
      <c r="E247" s="28" t="n">
        <v>758000</v>
      </c>
      <c r="F247" s="28" t="n">
        <v>340000</v>
      </c>
      <c r="G247" s="24" t="n">
        <v>141530</v>
      </c>
      <c r="H247" s="24" t="n">
        <v>70293</v>
      </c>
      <c r="I247" s="24" t="n">
        <v>162681</v>
      </c>
      <c r="J247" s="28" t="n">
        <v>36953</v>
      </c>
      <c r="K247" s="28" t="n">
        <v>657186</v>
      </c>
      <c r="L247" s="28" t="n">
        <v>8531</v>
      </c>
      <c r="M247" s="12"/>
      <c r="N247" s="12"/>
      <c r="O247" s="12"/>
      <c r="P247" s="12"/>
      <c r="Q247" s="12"/>
      <c r="R247" s="12"/>
      <c r="S247" s="12"/>
      <c r="T247" s="12"/>
      <c r="U247" s="12"/>
    </row>
    <row r="248">
      <c r="A248" s="16"/>
      <c r="B248" s="22" t="s">
        <v>969</v>
      </c>
      <c r="C248" s="28" t="n">
        <v>20</v>
      </c>
      <c r="D248" s="28" t="n">
        <v>1471</v>
      </c>
      <c r="E248" s="28" t="n">
        <v>21477</v>
      </c>
      <c r="F248" s="28" t="n">
        <v>3701</v>
      </c>
      <c r="G248" s="28" t="n">
        <v>3766</v>
      </c>
      <c r="H248" s="28" t="n">
        <v>1062</v>
      </c>
      <c r="I248" s="28" t="n">
        <v>1170</v>
      </c>
      <c r="J248" s="28" t="n">
        <v>380</v>
      </c>
      <c r="K248" s="28" t="n">
        <v>2093</v>
      </c>
      <c r="L248" s="28" t="n">
        <v>112</v>
      </c>
      <c r="M248" s="12"/>
      <c r="N248" s="12"/>
      <c r="O248" s="12"/>
      <c r="P248" s="12"/>
      <c r="Q248" s="12"/>
      <c r="R248" s="12"/>
      <c r="S248" s="12"/>
      <c r="T248" s="12"/>
      <c r="U248" s="12"/>
    </row>
    <row r="249">
      <c r="A249" s="16"/>
      <c r="B249" s="22" t="s">
        <v>970</v>
      </c>
      <c r="C249" s="28" t="n">
        <v>1619183</v>
      </c>
      <c r="D249" s="28" t="n">
        <v>39894</v>
      </c>
      <c r="E249" s="28" t="n">
        <v>83456</v>
      </c>
      <c r="F249" s="28" t="n">
        <v>273000</v>
      </c>
      <c r="G249" s="28" t="n">
        <v>140000</v>
      </c>
      <c r="H249" s="24" t="n">
        <v>180547</v>
      </c>
      <c r="I249" s="24" t="n">
        <v>969444</v>
      </c>
      <c r="J249" s="28" t="n">
        <v>133958</v>
      </c>
      <c r="K249" s="28" t="n">
        <v>367675</v>
      </c>
      <c r="L249" s="28" t="n">
        <v>85687</v>
      </c>
      <c r="M249" s="12"/>
      <c r="N249" s="12"/>
      <c r="O249" s="12"/>
      <c r="P249" s="12"/>
      <c r="Q249" s="12"/>
      <c r="R249" s="12"/>
      <c r="S249" s="12"/>
      <c r="T249" s="12"/>
      <c r="U249" s="12"/>
    </row>
    <row r="250">
      <c r="A250" s="16"/>
      <c r="B250" s="22"/>
      <c r="C250" s="16" t="s">
        <v>971</v>
      </c>
      <c r="D250" s="16" t="s">
        <v>972</v>
      </c>
      <c r="E250" s="16" t="s">
        <v>973</v>
      </c>
      <c r="F250" s="16" t="s">
        <v>974</v>
      </c>
      <c r="G250" s="16" t="s">
        <v>975</v>
      </c>
      <c r="H250" s="16" t="s">
        <v>976</v>
      </c>
      <c r="I250" s="16" t="s">
        <v>977</v>
      </c>
      <c r="J250" s="16" t="s">
        <v>978</v>
      </c>
      <c r="K250" s="16" t="s">
        <v>979</v>
      </c>
      <c r="L250" s="16" t="s">
        <v>980</v>
      </c>
      <c r="M250" s="12"/>
      <c r="N250" s="12"/>
      <c r="O250" s="12"/>
      <c r="P250" s="12"/>
      <c r="Q250" s="12"/>
      <c r="R250" s="12"/>
      <c r="S250" s="12"/>
      <c r="T250" s="12"/>
      <c r="U250" s="12"/>
    </row>
    <row r="251">
      <c r="A251" s="16" t="s">
        <v>981</v>
      </c>
      <c r="B251" s="22" t="s">
        <v>982</v>
      </c>
      <c r="C251" s="28" t="n">
        <v>21000</v>
      </c>
      <c r="D251" s="28" t="n">
        <v>150868</v>
      </c>
      <c r="E251" s="28" t="n">
        <v>139000</v>
      </c>
      <c r="F251" s="28" t="n">
        <v>417000</v>
      </c>
      <c r="G251" s="28" t="n">
        <v>102390</v>
      </c>
      <c r="H251" s="28" t="n">
        <v>50839</v>
      </c>
      <c r="I251" s="24" t="n">
        <v>169018</v>
      </c>
      <c r="J251" s="28" t="n">
        <v>24230</v>
      </c>
      <c r="K251" s="28" t="n">
        <v>50618</v>
      </c>
      <c r="L251" s="28" t="n">
        <v>7791</v>
      </c>
      <c r="M251" s="12"/>
      <c r="N251" s="12"/>
      <c r="O251" s="12"/>
      <c r="P251" s="12"/>
      <c r="Q251" s="12"/>
      <c r="R251" s="12"/>
      <c r="S251" s="12"/>
      <c r="T251" s="12"/>
      <c r="U251" s="12"/>
    </row>
    <row r="252">
      <c r="A252" s="16"/>
      <c r="B252" s="22" t="s">
        <v>983</v>
      </c>
      <c r="C252" s="28" t="n">
        <v>40</v>
      </c>
      <c r="D252" s="28" t="n">
        <v>1805</v>
      </c>
      <c r="E252" s="28" t="n">
        <v>6074</v>
      </c>
      <c r="F252" s="28" t="n">
        <v>3813</v>
      </c>
      <c r="G252" s="28" t="n">
        <v>2604</v>
      </c>
      <c r="H252" s="28" t="n">
        <v>691</v>
      </c>
      <c r="I252" s="28" t="n">
        <v>1080</v>
      </c>
      <c r="J252" s="28" t="n">
        <v>270</v>
      </c>
      <c r="K252" s="28" t="n">
        <v>323</v>
      </c>
      <c r="L252" s="28" t="n">
        <v>166</v>
      </c>
      <c r="M252" s="12"/>
      <c r="N252" s="12"/>
      <c r="O252" s="12"/>
      <c r="P252" s="12"/>
      <c r="Q252" s="12"/>
      <c r="R252" s="12"/>
      <c r="S252" s="12"/>
      <c r="T252" s="12"/>
      <c r="U252" s="12"/>
    </row>
    <row r="253" ht="20.25" customHeight="1">
      <c r="A253" s="16"/>
      <c r="B253" s="22" t="s">
        <v>984</v>
      </c>
      <c r="C253" s="28" t="n">
        <v>1619188</v>
      </c>
      <c r="D253" s="28" t="n">
        <v>39755</v>
      </c>
      <c r="E253" s="28" t="n">
        <v>81319</v>
      </c>
      <c r="F253" s="28" t="n">
        <v>273000</v>
      </c>
      <c r="G253" s="28" t="n">
        <v>139000</v>
      </c>
      <c r="H253" s="28" t="n">
        <v>180441</v>
      </c>
      <c r="I253" s="24" t="n">
        <v>968564</v>
      </c>
      <c r="J253" s="28" t="n">
        <v>133884</v>
      </c>
      <c r="K253" s="28" t="n">
        <v>367451</v>
      </c>
      <c r="L253" s="28" t="n">
        <v>85656</v>
      </c>
      <c r="M253" s="12"/>
      <c r="N253" s="12"/>
      <c r="O253" s="12"/>
      <c r="P253" s="12"/>
      <c r="Q253" s="12"/>
      <c r="R253" s="12"/>
      <c r="S253" s="12"/>
      <c r="T253" s="12"/>
      <c r="U253" s="12"/>
    </row>
    <row r="254">
      <c r="A254" s="16"/>
      <c r="B254" s="22"/>
      <c r="C254" s="16" t="s">
        <v>985</v>
      </c>
      <c r="D254" s="16" t="s">
        <v>986</v>
      </c>
      <c r="E254" s="16" t="s">
        <v>987</v>
      </c>
      <c r="F254" s="16" t="s">
        <v>988</v>
      </c>
      <c r="G254" s="16" t="s">
        <v>989</v>
      </c>
      <c r="H254" s="16" t="s">
        <v>990</v>
      </c>
      <c r="I254" s="16" t="s">
        <v>991</v>
      </c>
      <c r="J254" s="16" t="s">
        <v>992</v>
      </c>
      <c r="K254" s="16" t="s">
        <v>993</v>
      </c>
      <c r="L254" s="16" t="s">
        <v>994</v>
      </c>
      <c r="M254" s="12"/>
      <c r="N254" s="12"/>
      <c r="O254" s="12"/>
      <c r="P254" s="12"/>
      <c r="Q254" s="12"/>
      <c r="R254" s="12"/>
      <c r="S254" s="12"/>
      <c r="T254" s="12"/>
      <c r="U254" s="12"/>
    </row>
    <row r="255">
      <c r="A255" s="16" t="s">
        <v>995</v>
      </c>
      <c r="B255" s="22" t="s">
        <v>996</v>
      </c>
      <c r="C255" s="28"/>
      <c r="D255" s="28" t="n">
        <v>32000</v>
      </c>
      <c r="E255" s="28" t="n">
        <v>201615</v>
      </c>
      <c r="F255" s="28" t="n">
        <v>483000</v>
      </c>
      <c r="G255" s="28" t="n">
        <v>184000</v>
      </c>
      <c r="H255" s="24" t="n">
        <v>59954</v>
      </c>
      <c r="I255" s="24" t="n">
        <v>158299</v>
      </c>
      <c r="J255" s="28" t="n">
        <v>67022</v>
      </c>
      <c r="K255" s="28" t="n">
        <v>636041</v>
      </c>
      <c r="L255" s="28" t="n">
        <v>18248</v>
      </c>
      <c r="M255" s="12"/>
      <c r="N255" s="12"/>
      <c r="O255" s="12"/>
      <c r="P255" s="12"/>
      <c r="Q255" s="12"/>
      <c r="R255" s="12"/>
      <c r="S255" s="12"/>
      <c r="T255" s="12"/>
      <c r="U255" s="12"/>
    </row>
    <row r="256">
      <c r="A256" s="16"/>
      <c r="B256" s="22" t="s">
        <v>997</v>
      </c>
      <c r="C256" s="28"/>
      <c r="D256" s="28" t="n">
        <v>960</v>
      </c>
      <c r="E256" s="28" t="n">
        <v>4422</v>
      </c>
      <c r="F256" s="28" t="n">
        <v>3766</v>
      </c>
      <c r="G256" s="28" t="n">
        <v>4566</v>
      </c>
      <c r="H256" s="28" t="n">
        <v>2064</v>
      </c>
      <c r="I256" s="28" t="n">
        <v>774</v>
      </c>
      <c r="J256" s="28" t="n">
        <v>211</v>
      </c>
      <c r="K256" s="28" t="n">
        <v>2184</v>
      </c>
      <c r="L256" s="28" t="n">
        <v>91</v>
      </c>
      <c r="M256" s="12"/>
      <c r="N256" s="12"/>
      <c r="O256" s="12"/>
      <c r="P256" s="12"/>
      <c r="Q256" s="12"/>
      <c r="R256" s="12"/>
      <c r="S256" s="12"/>
      <c r="T256" s="12"/>
      <c r="U256" s="12"/>
    </row>
    <row r="257">
      <c r="A257" s="16"/>
      <c r="B257" s="22" t="s">
        <v>998</v>
      </c>
      <c r="C257" s="28"/>
      <c r="D257" s="28" t="n">
        <v>39755</v>
      </c>
      <c r="E257" s="28" t="n">
        <v>90893</v>
      </c>
      <c r="F257" s="28" t="n">
        <v>273000</v>
      </c>
      <c r="G257" s="28" t="n">
        <v>139000</v>
      </c>
      <c r="H257" s="24" t="n">
        <v>180266</v>
      </c>
      <c r="I257" s="24" t="n">
        <v>968175</v>
      </c>
      <c r="J257" s="28" t="n">
        <v>133722</v>
      </c>
      <c r="K257" s="28" t="n">
        <v>366999</v>
      </c>
      <c r="L257" s="28" t="n">
        <v>85804</v>
      </c>
      <c r="M257" s="12"/>
      <c r="N257" s="12"/>
      <c r="O257" s="12"/>
      <c r="P257" s="12"/>
      <c r="Q257" s="12"/>
      <c r="R257" s="12"/>
      <c r="S257" s="12"/>
      <c r="T257" s="12"/>
      <c r="U257" s="12"/>
    </row>
    <row r="258">
      <c r="A258" s="16"/>
      <c r="B258" s="22"/>
      <c r="C258" s="16" t="s">
        <v>999</v>
      </c>
      <c r="D258" s="16" t="s">
        <v>1000</v>
      </c>
      <c r="E258" s="16" t="s">
        <v>1001</v>
      </c>
      <c r="F258" s="16" t="s">
        <v>1002</v>
      </c>
      <c r="G258" s="16" t="s">
        <v>1003</v>
      </c>
      <c r="H258" s="16" t="s">
        <v>1004</v>
      </c>
      <c r="I258" s="16" t="s">
        <v>1005</v>
      </c>
      <c r="J258" s="16" t="s">
        <v>1006</v>
      </c>
      <c r="K258" s="16" t="s">
        <v>1007</v>
      </c>
      <c r="L258" s="16" t="s">
        <v>1008</v>
      </c>
      <c r="M258" s="12"/>
      <c r="N258" s="12"/>
      <c r="O258" s="12"/>
      <c r="P258" s="12"/>
      <c r="Q258" s="12"/>
      <c r="R258" s="12"/>
      <c r="S258" s="12"/>
      <c r="T258" s="12"/>
      <c r="U258" s="12"/>
    </row>
    <row r="259">
      <c r="A259" s="16" t="s">
        <v>1009</v>
      </c>
      <c r="B259" s="22" t="s">
        <v>1010</v>
      </c>
      <c r="C259" s="28" t="n">
        <v>22000</v>
      </c>
      <c r="D259" s="28" t="n">
        <v>167997</v>
      </c>
      <c r="E259" s="28" t="n">
        <v>198000</v>
      </c>
      <c r="F259" s="28" t="n">
        <v>534000</v>
      </c>
      <c r="G259" s="24" t="n">
        <v>144868</v>
      </c>
      <c r="H259" s="24" t="n">
        <v>70343</v>
      </c>
      <c r="I259" s="24" t="n">
        <v>144091</v>
      </c>
      <c r="J259" s="28" t="n">
        <v>24010</v>
      </c>
      <c r="K259" s="28" t="n">
        <v>155151</v>
      </c>
      <c r="L259" s="28" t="n">
        <v>11213</v>
      </c>
      <c r="M259" s="12"/>
      <c r="N259" s="12"/>
      <c r="O259" s="12"/>
      <c r="P259" s="12"/>
      <c r="Q259" s="12"/>
      <c r="R259" s="12"/>
      <c r="S259" s="12"/>
      <c r="T259" s="12"/>
      <c r="U259" s="12"/>
    </row>
    <row r="260">
      <c r="A260" s="16"/>
      <c r="B260" s="22" t="s">
        <v>1011</v>
      </c>
      <c r="C260" s="28" t="n">
        <v>53</v>
      </c>
      <c r="D260" s="28" t="n">
        <v>2507</v>
      </c>
      <c r="E260" s="28" t="n">
        <v>3516</v>
      </c>
      <c r="F260" s="28" t="n">
        <v>7838</v>
      </c>
      <c r="G260" s="28" t="n">
        <v>3477</v>
      </c>
      <c r="H260" s="28" t="n">
        <v>1497</v>
      </c>
      <c r="I260" s="28" t="n">
        <v>961</v>
      </c>
      <c r="J260" s="28" t="n">
        <v>721</v>
      </c>
      <c r="K260" s="28" t="n">
        <v>781</v>
      </c>
      <c r="L260" s="28" t="n">
        <v>115</v>
      </c>
      <c r="M260" s="12"/>
      <c r="N260" s="12"/>
      <c r="O260" s="12"/>
      <c r="P260" s="12"/>
      <c r="Q260" s="12"/>
      <c r="R260" s="12"/>
      <c r="S260" s="12"/>
      <c r="T260" s="12"/>
      <c r="U260" s="12"/>
    </row>
    <row r="261">
      <c r="A261" s="16"/>
      <c r="B261" s="22" t="s">
        <v>1012</v>
      </c>
      <c r="C261" s="28" t="n">
        <v>1619214</v>
      </c>
      <c r="D261" s="28" t="n">
        <v>39068</v>
      </c>
      <c r="E261" s="28" t="n">
        <v>80826</v>
      </c>
      <c r="F261" s="28" t="n">
        <v>272000</v>
      </c>
      <c r="G261" s="28" t="n">
        <v>139000</v>
      </c>
      <c r="H261" s="24" t="n">
        <v>180166</v>
      </c>
      <c r="I261" s="24" t="n">
        <v>967246</v>
      </c>
      <c r="J261" s="28" t="n">
        <v>133656</v>
      </c>
      <c r="K261" s="28" t="n">
        <v>367261</v>
      </c>
      <c r="L261" s="28" t="n">
        <v>85616</v>
      </c>
      <c r="M261" s="12"/>
      <c r="N261" s="12"/>
      <c r="O261" s="12"/>
      <c r="P261" s="12"/>
      <c r="Q261" s="12"/>
      <c r="R261" s="12"/>
      <c r="S261" s="12"/>
      <c r="T261" s="12"/>
      <c r="U261" s="12"/>
    </row>
    <row r="262">
      <c r="A262" s="16"/>
      <c r="B262" s="22"/>
      <c r="C262" s="16" t="s">
        <v>1013</v>
      </c>
      <c r="D262" s="16" t="s">
        <v>1014</v>
      </c>
      <c r="E262" s="16" t="s">
        <v>1015</v>
      </c>
      <c r="F262" s="16" t="s">
        <v>1016</v>
      </c>
      <c r="G262" s="16" t="s">
        <v>1017</v>
      </c>
      <c r="H262" s="16" t="s">
        <v>1018</v>
      </c>
      <c r="I262" s="16" t="s">
        <v>1019</v>
      </c>
      <c r="J262" s="16" t="s">
        <v>1020</v>
      </c>
      <c r="K262" s="16" t="s">
        <v>1021</v>
      </c>
      <c r="L262" s="16" t="s">
        <v>1022</v>
      </c>
      <c r="M262" s="12"/>
      <c r="N262" s="12"/>
      <c r="O262" s="12"/>
      <c r="P262" s="12"/>
      <c r="Q262" s="12"/>
      <c r="R262" s="12"/>
      <c r="S262" s="12"/>
      <c r="T262" s="12"/>
      <c r="U262" s="12"/>
    </row>
    <row r="263">
      <c r="A263" s="16" t="s">
        <v>1023</v>
      </c>
      <c r="B263" s="22" t="s">
        <v>1024</v>
      </c>
      <c r="C263" s="28" t="n">
        <v>25000</v>
      </c>
      <c r="D263" s="28" t="n">
        <v>97644</v>
      </c>
      <c r="E263" s="28" t="n">
        <v>219000</v>
      </c>
      <c r="F263" s="28" t="n">
        <v>423000</v>
      </c>
      <c r="G263" s="28" t="n">
        <v>181814</v>
      </c>
      <c r="H263" s="28" t="n">
        <v>128682</v>
      </c>
      <c r="I263" s="28" t="n">
        <v>371516</v>
      </c>
      <c r="J263" s="28" t="n">
        <v>85615</v>
      </c>
      <c r="K263" s="28" t="n">
        <v>132932</v>
      </c>
      <c r="L263" s="28" t="n">
        <v>11902</v>
      </c>
      <c r="M263" s="12"/>
      <c r="N263" s="12"/>
      <c r="O263" s="12"/>
      <c r="P263" s="12"/>
      <c r="Q263" s="12"/>
      <c r="R263" s="12"/>
      <c r="S263" s="12"/>
      <c r="T263" s="12"/>
      <c r="U263" s="12"/>
    </row>
    <row r="264">
      <c r="A264" s="16"/>
      <c r="B264" s="22" t="s">
        <v>1025</v>
      </c>
      <c r="C264" s="28" t="n">
        <v>68</v>
      </c>
      <c r="D264" s="28" t="n">
        <v>1554</v>
      </c>
      <c r="E264" s="28" t="n">
        <v>4406</v>
      </c>
      <c r="F264" s="28" t="n">
        <v>4283</v>
      </c>
      <c r="G264" s="28" t="n">
        <v>5035</v>
      </c>
      <c r="H264" s="28" t="n">
        <v>3324</v>
      </c>
      <c r="I264" s="28" t="n">
        <v>2720</v>
      </c>
      <c r="J264" s="28" t="n">
        <v>837</v>
      </c>
      <c r="K264" s="28" t="n">
        <v>304</v>
      </c>
      <c r="L264" s="28" t="n">
        <v>163</v>
      </c>
      <c r="M264" s="12"/>
      <c r="N264" s="12"/>
      <c r="O264" s="12"/>
      <c r="P264" s="12"/>
      <c r="Q264" s="12"/>
      <c r="R264" s="12"/>
      <c r="S264" s="12"/>
      <c r="T264" s="12"/>
      <c r="U264" s="12"/>
    </row>
    <row r="265">
      <c r="A265" s="16"/>
      <c r="B265" s="22" t="s">
        <v>1026</v>
      </c>
      <c r="C265" s="28" t="n">
        <v>1619266</v>
      </c>
      <c r="D265" s="28" t="n">
        <v>38358</v>
      </c>
      <c r="E265" s="28" t="n">
        <v>80455</v>
      </c>
      <c r="F265" s="28" t="n">
        <v>272000</v>
      </c>
      <c r="G265" s="28" t="n">
        <v>138000</v>
      </c>
      <c r="H265" s="24" t="n">
        <v>179912</v>
      </c>
      <c r="I265" s="24" t="n">
        <v>966204</v>
      </c>
      <c r="J265" s="28" t="n">
        <v>133456</v>
      </c>
      <c r="K265" s="28" t="n">
        <v>367135</v>
      </c>
      <c r="L265" s="28" t="n">
        <v>85579</v>
      </c>
      <c r="M265" s="12"/>
      <c r="N265" s="12"/>
      <c r="O265" s="12"/>
      <c r="P265" s="12"/>
      <c r="Q265" s="12"/>
      <c r="R265" s="12"/>
      <c r="S265" s="12"/>
      <c r="T265" s="12"/>
      <c r="U265" s="12"/>
    </row>
    <row r="266">
      <c r="A266" s="16"/>
      <c r="B266" s="22"/>
      <c r="C266" s="16" t="s">
        <v>1027</v>
      </c>
      <c r="D266" s="16" t="s">
        <v>1028</v>
      </c>
      <c r="E266" s="16" t="s">
        <v>1029</v>
      </c>
      <c r="F266" s="16" t="s">
        <v>1030</v>
      </c>
      <c r="G266" s="16" t="s">
        <v>1031</v>
      </c>
      <c r="H266" s="16" t="s">
        <v>1032</v>
      </c>
      <c r="I266" s="16" t="s">
        <v>1033</v>
      </c>
      <c r="J266" s="16" t="s">
        <v>1034</v>
      </c>
      <c r="K266" s="16" t="s">
        <v>1035</v>
      </c>
      <c r="L266" s="16" t="s">
        <v>1036</v>
      </c>
      <c r="M266" s="12"/>
      <c r="N266" s="12"/>
      <c r="O266" s="12"/>
      <c r="P266" s="12"/>
      <c r="Q266" s="12"/>
      <c r="R266" s="12"/>
      <c r="S266" s="12"/>
      <c r="T266" s="12"/>
      <c r="U266" s="12"/>
    </row>
    <row r="267">
      <c r="A267" s="16" t="s">
        <v>1037</v>
      </c>
      <c r="B267" s="22" t="s">
        <v>1038</v>
      </c>
      <c r="C267" s="28" t="n">
        <v>28000</v>
      </c>
      <c r="D267" s="28" t="n">
        <v>150380</v>
      </c>
      <c r="E267" s="28" t="n">
        <v>324000</v>
      </c>
      <c r="F267" s="28" t="n">
        <v>506000</v>
      </c>
      <c r="G267" s="28" t="n">
        <v>223406</v>
      </c>
      <c r="H267" s="28" t="n">
        <v>102594</v>
      </c>
      <c r="I267" s="28" t="n">
        <v>149854</v>
      </c>
      <c r="J267" s="28" t="n">
        <v>274168</v>
      </c>
      <c r="K267" s="28" t="n">
        <v>150526</v>
      </c>
      <c r="L267" s="28" t="n">
        <v>12283</v>
      </c>
      <c r="M267" s="12"/>
      <c r="N267" s="12"/>
      <c r="O267" s="12"/>
      <c r="P267" s="12"/>
      <c r="Q267" s="12"/>
      <c r="R267" s="12"/>
      <c r="S267" s="12"/>
      <c r="T267" s="12"/>
      <c r="U267" s="12"/>
    </row>
    <row r="268">
      <c r="A268" s="16"/>
      <c r="B268" s="22" t="s">
        <v>1039</v>
      </c>
      <c r="C268" s="28" t="n">
        <v>59</v>
      </c>
      <c r="D268" s="28" t="n">
        <v>2478</v>
      </c>
      <c r="E268" s="28" t="n">
        <v>5330</v>
      </c>
      <c r="F268" s="28" t="n">
        <v>4728</v>
      </c>
      <c r="G268" s="28" t="n">
        <v>6538</v>
      </c>
      <c r="H268" s="28" t="n">
        <v>5502</v>
      </c>
      <c r="I268" s="28" t="n">
        <v>1842</v>
      </c>
      <c r="J268" s="28" t="n">
        <v>3098</v>
      </c>
      <c r="K268" s="28" t="n">
        <v>628</v>
      </c>
      <c r="L268" s="28" t="n">
        <v>169</v>
      </c>
      <c r="M268" s="12"/>
      <c r="N268" s="12"/>
      <c r="O268" s="12"/>
      <c r="P268" s="12"/>
      <c r="Q268" s="12"/>
      <c r="R268" s="12"/>
      <c r="S268" s="12"/>
      <c r="T268" s="12"/>
      <c r="U268" s="12"/>
    </row>
    <row r="269">
      <c r="A269" s="16"/>
      <c r="B269" s="22" t="s">
        <v>1040</v>
      </c>
      <c r="C269" s="28" t="n">
        <v>1619261</v>
      </c>
      <c r="D269" s="28" t="n">
        <v>38133</v>
      </c>
      <c r="E269" s="28" t="n">
        <v>79932</v>
      </c>
      <c r="F269" s="28" t="n">
        <v>272000</v>
      </c>
      <c r="G269" s="28" t="n">
        <v>137000</v>
      </c>
      <c r="H269" s="28" t="n">
        <v>179410</v>
      </c>
      <c r="I269" s="28" t="n">
        <v>965405</v>
      </c>
      <c r="J269" s="28" t="n">
        <v>133257</v>
      </c>
      <c r="K269" s="28" t="n">
        <v>367080</v>
      </c>
      <c r="L269" s="28" t="n">
        <v>85535</v>
      </c>
      <c r="M269" s="12"/>
      <c r="N269" s="12"/>
      <c r="O269" s="12"/>
      <c r="P269" s="12"/>
      <c r="Q269" s="12"/>
      <c r="R269" s="12"/>
      <c r="S269" s="12"/>
      <c r="T269" s="12"/>
      <c r="U269" s="12"/>
    </row>
    <row r="270">
      <c r="A270" s="16"/>
      <c r="B270" s="22"/>
      <c r="C270" s="16" t="s">
        <v>1041</v>
      </c>
      <c r="D270" s="16" t="s">
        <v>1042</v>
      </c>
      <c r="E270" s="16" t="s">
        <v>1043</v>
      </c>
      <c r="F270" s="16" t="s">
        <v>1044</v>
      </c>
      <c r="G270" s="16" t="s">
        <v>1045</v>
      </c>
      <c r="H270" s="16" t="s">
        <v>1046</v>
      </c>
      <c r="I270" s="16" t="s">
        <v>1047</v>
      </c>
      <c r="J270" s="16" t="s">
        <v>1048</v>
      </c>
      <c r="K270" s="16" t="s">
        <v>1049</v>
      </c>
      <c r="L270" s="16" t="s">
        <v>1050</v>
      </c>
      <c r="M270" s="12"/>
      <c r="N270" s="12"/>
      <c r="O270" s="12"/>
      <c r="P270" s="12"/>
      <c r="Q270" s="12"/>
      <c r="R270" s="12"/>
      <c r="S270" s="12"/>
      <c r="T270" s="12"/>
      <c r="U270" s="12"/>
    </row>
    <row r="271">
      <c r="A271" s="16" t="s">
        <v>1051</v>
      </c>
      <c r="B271" s="22" t="s">
        <v>1052</v>
      </c>
      <c r="C271" s="28" t="n">
        <v>20235</v>
      </c>
      <c r="D271" s="28" t="n">
        <v>204348</v>
      </c>
      <c r="E271" s="28" t="n">
        <v>284000</v>
      </c>
      <c r="F271" s="28" t="n">
        <v>524000</v>
      </c>
      <c r="G271" s="28" t="n">
        <v>275000</v>
      </c>
      <c r="H271" s="28" t="n">
        <v>208224</v>
      </c>
      <c r="I271" s="28" t="n">
        <v>137651</v>
      </c>
      <c r="J271" s="28" t="n">
        <v>215056</v>
      </c>
      <c r="K271" s="28" t="n">
        <v>636041</v>
      </c>
      <c r="L271" s="28" t="n">
        <v>16412</v>
      </c>
      <c r="M271" s="12"/>
      <c r="N271" s="12"/>
      <c r="O271" s="12"/>
      <c r="P271" s="12"/>
      <c r="Q271" s="12"/>
      <c r="R271" s="12"/>
      <c r="S271" s="12"/>
      <c r="T271" s="12"/>
      <c r="U271" s="12"/>
    </row>
    <row r="272">
      <c r="A272" s="16"/>
      <c r="B272" s="22" t="s">
        <v>1053</v>
      </c>
      <c r="C272" s="28" t="n">
        <v>83</v>
      </c>
      <c r="D272" s="28" t="n">
        <v>4121</v>
      </c>
      <c r="E272" s="28" t="n">
        <v>9124</v>
      </c>
      <c r="F272" s="28" t="n">
        <v>6090</v>
      </c>
      <c r="G272" s="28" t="n">
        <v>8140</v>
      </c>
      <c r="H272" s="28" t="n">
        <v>11875</v>
      </c>
      <c r="I272" s="28" t="n">
        <v>2511</v>
      </c>
      <c r="J272" s="28" t="n">
        <v>2779</v>
      </c>
      <c r="K272" s="28" t="n">
        <v>2184</v>
      </c>
      <c r="L272" s="28" t="n">
        <v>149</v>
      </c>
      <c r="M272" s="12"/>
      <c r="N272" s="12"/>
      <c r="O272" s="12"/>
      <c r="P272" s="12"/>
      <c r="Q272" s="12"/>
      <c r="R272" s="12"/>
      <c r="S272" s="12"/>
      <c r="T272" s="12"/>
      <c r="U272" s="12"/>
    </row>
    <row r="273">
      <c r="A273" s="16"/>
      <c r="B273" s="22" t="s">
        <v>1054</v>
      </c>
      <c r="C273" s="28" t="n">
        <v>1619319</v>
      </c>
      <c r="D273" s="28" t="n">
        <v>37841</v>
      </c>
      <c r="E273" s="28" t="n">
        <v>79536</v>
      </c>
      <c r="F273" s="28" t="n">
        <v>272000</v>
      </c>
      <c r="G273" s="28" t="n">
        <v>137000</v>
      </c>
      <c r="H273" s="28" t="n">
        <v>178714</v>
      </c>
      <c r="I273" s="28" t="n">
        <v>964100</v>
      </c>
      <c r="J273" s="28" t="n">
        <v>132772</v>
      </c>
      <c r="K273" s="28" t="n">
        <v>366999</v>
      </c>
      <c r="L273" s="28" t="n">
        <v>85506</v>
      </c>
      <c r="M273" s="12"/>
      <c r="N273" s="12"/>
      <c r="O273" s="12"/>
      <c r="P273" s="12"/>
      <c r="Q273" s="12"/>
      <c r="R273" s="12"/>
      <c r="S273" s="12"/>
      <c r="T273" s="12"/>
      <c r="U273" s="12"/>
    </row>
    <row r="274">
      <c r="A274" s="10"/>
      <c r="B274" s="22"/>
      <c r="C274" s="16" t="s">
        <v>1055</v>
      </c>
      <c r="D274" s="16" t="s">
        <v>1056</v>
      </c>
      <c r="E274" s="16" t="s">
        <v>1057</v>
      </c>
      <c r="F274" s="16" t="s">
        <v>1058</v>
      </c>
      <c r="G274" s="16" t="s">
        <v>1059</v>
      </c>
      <c r="H274" s="16" t="s">
        <v>1060</v>
      </c>
      <c r="I274" s="16" t="s">
        <v>1061</v>
      </c>
      <c r="J274" s="16" t="s">
        <v>1062</v>
      </c>
      <c r="K274" s="16" t="s">
        <v>1063</v>
      </c>
      <c r="L274" s="16" t="s">
        <v>1064</v>
      </c>
      <c r="M274" s="12"/>
      <c r="N274" s="12"/>
      <c r="O274" s="12"/>
      <c r="P274" s="12"/>
      <c r="Q274" s="12"/>
      <c r="R274" s="12"/>
      <c r="S274" s="12"/>
      <c r="T274" s="12"/>
      <c r="U274" s="12"/>
    </row>
    <row r="275">
      <c r="A275" s="16" t="s">
        <v>1065</v>
      </c>
      <c r="B275" s="22" t="s">
        <v>1066</v>
      </c>
      <c r="C275" s="28" t="n">
        <v>14106</v>
      </c>
      <c r="D275" s="28" t="n">
        <v>263009</v>
      </c>
      <c r="E275" s="28" t="n">
        <v>146000</v>
      </c>
      <c r="F275" s="28" t="n">
        <v>323000</v>
      </c>
      <c r="G275" s="28" t="n">
        <v>606009</v>
      </c>
      <c r="H275" s="28" t="n">
        <v>180246</v>
      </c>
      <c r="I275" s="28" t="n">
        <v>121601</v>
      </c>
      <c r="J275" s="28" t="n">
        <v>102550</v>
      </c>
      <c r="K275" s="28" t="n">
        <v>598510</v>
      </c>
      <c r="L275" s="28" t="n">
        <v>16612</v>
      </c>
      <c r="M275" s="12"/>
      <c r="N275" s="12"/>
      <c r="O275" s="12"/>
      <c r="P275" s="12"/>
      <c r="Q275" s="12"/>
      <c r="R275" s="12"/>
      <c r="S275" s="12"/>
      <c r="T275" s="12"/>
      <c r="U275" s="12"/>
    </row>
    <row r="276">
      <c r="A276" s="16"/>
      <c r="B276" s="22" t="s">
        <v>1067</v>
      </c>
      <c r="C276" s="28" t="n">
        <v>94</v>
      </c>
      <c r="D276" s="28" t="n">
        <v>1269</v>
      </c>
      <c r="E276" s="28" t="n">
        <v>5083</v>
      </c>
      <c r="F276" s="28" t="n">
        <v>5343</v>
      </c>
      <c r="G276" s="28" t="n">
        <v>13652</v>
      </c>
      <c r="H276" s="28" t="n">
        <v>10784</v>
      </c>
      <c r="I276" s="28" t="n">
        <v>1855</v>
      </c>
      <c r="J276" s="28" t="n">
        <v>841</v>
      </c>
      <c r="K276" s="28" t="n">
        <v>2110</v>
      </c>
      <c r="L276" s="28" t="n">
        <v>162</v>
      </c>
      <c r="M276" s="12"/>
      <c r="N276" s="12"/>
      <c r="O276" s="12"/>
      <c r="P276" s="12"/>
      <c r="Q276" s="12"/>
      <c r="R276" s="12"/>
      <c r="S276" s="12"/>
      <c r="T276" s="12"/>
      <c r="U276" s="12"/>
    </row>
    <row r="277">
      <c r="A277" s="16"/>
      <c r="B277" s="22" t="s">
        <v>1068</v>
      </c>
      <c r="C277" s="28" t="n">
        <v>1619000</v>
      </c>
      <c r="D277" s="28" t="n">
        <v>36889</v>
      </c>
      <c r="E277" s="28" t="n">
        <v>78829</v>
      </c>
      <c r="F277" s="28" t="n">
        <v>271000</v>
      </c>
      <c r="G277" s="28" t="n">
        <v>135000</v>
      </c>
      <c r="H277" s="28" t="n">
        <v>176961</v>
      </c>
      <c r="I277" s="28" t="n">
        <v>962823</v>
      </c>
      <c r="J277" s="28" t="n">
        <v>132414</v>
      </c>
      <c r="K277" s="28" t="n">
        <v>366714</v>
      </c>
      <c r="L277" s="28" t="n">
        <v>85481</v>
      </c>
      <c r="M277" s="12"/>
      <c r="N277" s="12"/>
      <c r="O277" s="12"/>
      <c r="P277" s="12"/>
      <c r="Q277" s="12"/>
      <c r="R277" s="12"/>
      <c r="S277" s="12"/>
      <c r="T277" s="12"/>
      <c r="U277" s="12"/>
    </row>
    <row r="278">
      <c r="A278" s="16"/>
      <c r="B278" s="22"/>
      <c r="C278" s="16" t="s">
        <v>1069</v>
      </c>
      <c r="D278" s="16" t="s">
        <v>1070</v>
      </c>
      <c r="E278" s="16" t="s">
        <v>1071</v>
      </c>
      <c r="F278" s="16" t="s">
        <v>1072</v>
      </c>
      <c r="G278" s="16" t="s">
        <v>1073</v>
      </c>
      <c r="H278" s="16" t="s">
        <v>1074</v>
      </c>
      <c r="I278" s="16" t="s">
        <v>1075</v>
      </c>
      <c r="J278" s="16" t="s">
        <v>1076</v>
      </c>
      <c r="K278" s="16" t="s">
        <v>1077</v>
      </c>
      <c r="L278" s="16" t="s">
        <v>1078</v>
      </c>
      <c r="M278" s="12"/>
      <c r="N278" s="12"/>
      <c r="O278" s="12"/>
      <c r="P278" s="12"/>
      <c r="Q278" s="12"/>
      <c r="R278" s="12"/>
      <c r="S278" s="12"/>
      <c r="T278" s="12"/>
      <c r="U278" s="12"/>
    </row>
    <row r="279">
      <c r="A279" s="16" t="s">
        <v>1079</v>
      </c>
      <c r="B279" s="22" t="s">
        <v>1080</v>
      </c>
      <c r="C279" s="28" t="n">
        <v>21263</v>
      </c>
      <c r="D279" s="28" t="n">
        <v>299391</v>
      </c>
      <c r="E279" s="28" t="n">
        <v>220428</v>
      </c>
      <c r="F279" s="28" t="n">
        <v>483000</v>
      </c>
      <c r="G279" s="28" t="n">
        <v>848254</v>
      </c>
      <c r="H279" s="28" t="n">
        <v>112790</v>
      </c>
      <c r="I279" s="28" t="n">
        <v>113018</v>
      </c>
      <c r="J279" s="28" t="n">
        <v>145199</v>
      </c>
      <c r="K279" s="28" t="n">
        <v>249489</v>
      </c>
      <c r="L279" s="28" t="n">
        <v>18777</v>
      </c>
      <c r="M279" s="12"/>
      <c r="N279" s="12"/>
      <c r="O279" s="12"/>
      <c r="P279" s="12"/>
      <c r="Q279" s="12"/>
      <c r="R279" s="12"/>
      <c r="S279" s="12"/>
      <c r="T279" s="12"/>
      <c r="U279" s="12"/>
    </row>
    <row r="280">
      <c r="A280" s="16"/>
      <c r="B280" s="22" t="s">
        <v>1081</v>
      </c>
      <c r="C280" s="28"/>
      <c r="D280" s="28" t="n">
        <v>6336</v>
      </c>
      <c r="E280" s="28" t="n">
        <v>6163</v>
      </c>
      <c r="F280" s="28" t="n">
        <v>10000</v>
      </c>
      <c r="G280" s="28" t="n">
        <v>21835</v>
      </c>
      <c r="H280" s="28" t="n">
        <v>4700</v>
      </c>
      <c r="I280" s="28" t="n">
        <v>1767</v>
      </c>
      <c r="J280" s="28" t="n">
        <v>2405</v>
      </c>
      <c r="K280" s="28" t="n">
        <v>694</v>
      </c>
      <c r="L280" s="28" t="n">
        <v>228</v>
      </c>
      <c r="M280" s="12"/>
      <c r="N280" s="12"/>
      <c r="O280" s="12"/>
      <c r="P280" s="12"/>
      <c r="Q280" s="12"/>
      <c r="R280" s="12"/>
      <c r="S280" s="12"/>
      <c r="T280" s="12"/>
      <c r="U280" s="12"/>
    </row>
    <row r="281">
      <c r="A281" s="16"/>
      <c r="B281" s="22" t="s">
        <v>1082</v>
      </c>
      <c r="C281" s="28"/>
      <c r="D281" s="28" t="n">
        <v>36685</v>
      </c>
      <c r="E281" s="28" t="n">
        <v>78330</v>
      </c>
      <c r="F281" s="28" t="n">
        <v>269000</v>
      </c>
      <c r="G281" s="28" t="n">
        <v>133000</v>
      </c>
      <c r="H281" s="28" t="n">
        <v>172730</v>
      </c>
      <c r="I281" s="28" t="n">
        <v>962070</v>
      </c>
      <c r="J281" s="28" t="n">
        <v>132247</v>
      </c>
      <c r="K281" s="28" t="n">
        <v>366517</v>
      </c>
      <c r="L281" s="28" t="n">
        <v>85481</v>
      </c>
      <c r="M281" s="12"/>
      <c r="N281" s="12"/>
      <c r="O281" s="12"/>
      <c r="P281" s="12"/>
      <c r="Q281" s="12"/>
      <c r="R281" s="12"/>
      <c r="S281" s="12"/>
      <c r="T281" s="12"/>
      <c r="U281" s="12"/>
    </row>
    <row r="282">
      <c r="A282" s="16"/>
      <c r="B282" s="22"/>
      <c r="C282" s="34" t="s">
        <v>1083</v>
      </c>
      <c r="D282" s="34" t="s">
        <v>1084</v>
      </c>
      <c r="E282" s="34" t="s">
        <v>1085</v>
      </c>
      <c r="F282" s="34" t="s">
        <v>1086</v>
      </c>
      <c r="G282" s="34" t="s">
        <v>1087</v>
      </c>
      <c r="H282" s="34" t="s">
        <v>1088</v>
      </c>
      <c r="I282" s="34" t="s">
        <v>1089</v>
      </c>
      <c r="J282" s="34" t="s">
        <v>1090</v>
      </c>
      <c r="K282" s="34" t="s">
        <v>1091</v>
      </c>
      <c r="L282" s="34" t="s">
        <v>1092</v>
      </c>
      <c r="M282" s="12"/>
      <c r="N282" s="12"/>
      <c r="O282" s="12"/>
      <c r="P282" s="12"/>
      <c r="Q282" s="12"/>
      <c r="R282" s="12"/>
      <c r="S282" s="12"/>
      <c r="T282" s="12"/>
      <c r="U282" s="12"/>
    </row>
    <row r="283">
      <c r="A283" s="16" t="s">
        <v>1093</v>
      </c>
      <c r="B283" s="22" t="s">
        <v>1094</v>
      </c>
      <c r="C283" s="28" t="n">
        <v>16000</v>
      </c>
      <c r="D283" s="28" t="n">
        <v>116561</v>
      </c>
      <c r="E283" s="28" t="n">
        <v>290000</v>
      </c>
      <c r="F283" s="28" t="n">
        <v>68000</v>
      </c>
      <c r="G283" s="28" t="n">
        <v>184000</v>
      </c>
      <c r="H283" s="28" t="n">
        <v>121569</v>
      </c>
      <c r="I283" s="28" t="n">
        <v>80746</v>
      </c>
      <c r="J283" s="28" t="n">
        <v>163461</v>
      </c>
      <c r="K283" s="28" t="n">
        <v>141483</v>
      </c>
      <c r="L283" s="28" t="n">
        <v>14683</v>
      </c>
      <c r="M283" s="12"/>
      <c r="N283" s="12"/>
      <c r="O283" s="12"/>
      <c r="P283" s="12"/>
      <c r="Q283" s="12"/>
      <c r="R283" s="12"/>
      <c r="S283" s="12"/>
      <c r="T283" s="12"/>
      <c r="U283" s="12"/>
    </row>
    <row r="284">
      <c r="A284" s="16"/>
      <c r="B284" s="22" t="s">
        <v>1095</v>
      </c>
      <c r="C284" s="28" t="n">
        <v>49</v>
      </c>
      <c r="D284" s="28" t="n">
        <v>2547</v>
      </c>
      <c r="E284" s="28" t="n">
        <v>9551</v>
      </c>
      <c r="F284" s="28" t="n">
        <v>1174</v>
      </c>
      <c r="G284" s="28" t="n">
        <v>4203</v>
      </c>
      <c r="H284" s="28" t="n">
        <v>9269</v>
      </c>
      <c r="I284" s="28" t="n">
        <v>1303</v>
      </c>
      <c r="J284" s="28" t="n">
        <v>1940</v>
      </c>
      <c r="K284" s="28" t="n">
        <v>408</v>
      </c>
      <c r="L284" s="28" t="n">
        <v>60</v>
      </c>
      <c r="M284" s="12"/>
      <c r="N284" s="12"/>
      <c r="O284" s="12"/>
      <c r="P284" s="12"/>
      <c r="Q284" s="12"/>
      <c r="R284" s="12"/>
      <c r="S284" s="12"/>
      <c r="T284" s="12"/>
      <c r="U284" s="12"/>
    </row>
    <row r="285">
      <c r="A285" s="16"/>
      <c r="B285" s="22" t="s">
        <v>1096</v>
      </c>
      <c r="C285" s="28" t="n">
        <v>1619529</v>
      </c>
      <c r="D285" s="28" t="n">
        <v>36685</v>
      </c>
      <c r="E285" s="28" t="n">
        <v>78082</v>
      </c>
      <c r="F285" s="28" t="n">
        <v>269000</v>
      </c>
      <c r="G285" s="28" t="n">
        <v>132000</v>
      </c>
      <c r="H285" s="28" t="n">
        <v>172730</v>
      </c>
      <c r="I285" s="28" t="n">
        <v>961402</v>
      </c>
      <c r="J285" s="28" t="n">
        <v>131999</v>
      </c>
      <c r="K285" s="28" t="n">
        <v>366383</v>
      </c>
      <c r="L285" s="28" t="n">
        <v>85360</v>
      </c>
      <c r="M285" s="12"/>
      <c r="N285" s="12"/>
      <c r="O285" s="12"/>
      <c r="P285" s="12"/>
      <c r="Q285" s="12"/>
      <c r="R285" s="12"/>
      <c r="S285" s="12"/>
      <c r="T285" s="12"/>
      <c r="U285" s="12"/>
    </row>
    <row r="286">
      <c r="A286" s="16"/>
      <c r="B286" s="22"/>
      <c r="C286" s="34" t="s">
        <v>1097</v>
      </c>
      <c r="D286" s="34" t="s">
        <v>1098</v>
      </c>
      <c r="E286" s="34" t="s">
        <v>1099</v>
      </c>
      <c r="F286" s="34" t="s">
        <v>1100</v>
      </c>
      <c r="G286" s="34" t="s">
        <v>1101</v>
      </c>
      <c r="H286" s="34" t="s">
        <v>1102</v>
      </c>
      <c r="I286" s="34" t="s">
        <v>1103</v>
      </c>
      <c r="J286" s="34" t="s">
        <v>1104</v>
      </c>
      <c r="K286" s="34" t="s">
        <v>1105</v>
      </c>
      <c r="L286" s="34" t="s">
        <v>1106</v>
      </c>
      <c r="M286" s="12"/>
      <c r="N286" s="12"/>
      <c r="O286" s="12"/>
      <c r="P286" s="12"/>
      <c r="Q286" s="12"/>
      <c r="R286" s="12"/>
      <c r="S286" s="12"/>
      <c r="T286" s="12"/>
      <c r="U286" s="12"/>
    </row>
    <row r="287">
      <c r="A287" s="16" t="s">
        <v>1107</v>
      </c>
      <c r="B287" s="22" t="s">
        <v>1108</v>
      </c>
      <c r="C287" s="28" t="n">
        <v>32000</v>
      </c>
      <c r="D287" s="28" t="n">
        <v>159000</v>
      </c>
      <c r="E287" s="28" t="n">
        <v>319000</v>
      </c>
      <c r="F287" s="28" t="n">
        <v>457000</v>
      </c>
      <c r="G287" s="28" t="n">
        <v>188000</v>
      </c>
      <c r="H287" s="28" t="n">
        <v>193611</v>
      </c>
      <c r="I287" s="24" t="n">
        <v>120551</v>
      </c>
      <c r="J287" s="28" t="n">
        <v>54722</v>
      </c>
      <c r="K287" s="28" t="n">
        <v>245262</v>
      </c>
      <c r="L287" s="28" t="n">
        <v>15544</v>
      </c>
      <c r="M287" s="12"/>
      <c r="N287" s="12"/>
      <c r="O287" s="12"/>
      <c r="P287" s="12"/>
      <c r="Q287" s="12"/>
      <c r="R287" s="12"/>
      <c r="S287" s="12"/>
      <c r="T287" s="12"/>
      <c r="U287" s="12"/>
    </row>
    <row r="288">
      <c r="A288" s="16"/>
      <c r="B288" s="22" t="s">
        <v>1109</v>
      </c>
      <c r="C288" s="28" t="n">
        <v>84</v>
      </c>
      <c r="D288" s="28" t="n">
        <v>3442</v>
      </c>
      <c r="E288" s="28" t="n">
        <v>9678</v>
      </c>
      <c r="F288" s="28" t="n">
        <v>7751</v>
      </c>
      <c r="G288" s="28" t="n">
        <v>4894</v>
      </c>
      <c r="H288" s="28" t="n">
        <v>11304</v>
      </c>
      <c r="I288" s="24" t="n">
        <v>1818</v>
      </c>
      <c r="J288" s="28" t="n">
        <v>5276</v>
      </c>
      <c r="K288" s="28" t="n">
        <v>853</v>
      </c>
      <c r="L288" s="28" t="n">
        <v>235</v>
      </c>
      <c r="M288" s="12"/>
      <c r="N288" s="12"/>
      <c r="O288" s="12"/>
      <c r="P288" s="12"/>
      <c r="Q288" s="12"/>
      <c r="R288" s="12"/>
      <c r="S288" s="12"/>
      <c r="T288" s="12"/>
      <c r="U288" s="12"/>
    </row>
    <row r="289">
      <c r="A289" s="16"/>
      <c r="B289" s="22" t="s">
        <v>1110</v>
      </c>
      <c r="C289" s="28" t="n">
        <v>1619567</v>
      </c>
      <c r="D289" s="28" t="n">
        <v>36437</v>
      </c>
      <c r="E289" s="28" t="n">
        <v>76931</v>
      </c>
      <c r="F289" s="28" t="n">
        <v>266041</v>
      </c>
      <c r="G289" s="28" t="n">
        <v>132000</v>
      </c>
      <c r="H289" s="35" t="n">
        <v>171678</v>
      </c>
      <c r="I289" s="24" t="n">
        <v>960732</v>
      </c>
      <c r="J289" s="28" t="n">
        <v>131529</v>
      </c>
      <c r="K289" s="28" t="n">
        <v>366045</v>
      </c>
      <c r="L289" s="28" t="n">
        <v>85309</v>
      </c>
      <c r="M289" s="12"/>
      <c r="N289" s="12"/>
      <c r="O289" s="12"/>
      <c r="P289" s="12"/>
      <c r="Q289" s="12"/>
      <c r="R289" s="12"/>
      <c r="S289" s="12"/>
      <c r="T289" s="12"/>
      <c r="U289" s="12"/>
    </row>
    <row r="290">
      <c r="A290" s="16"/>
      <c r="B290" s="22"/>
      <c r="C290" s="34" t="s">
        <v>1111</v>
      </c>
      <c r="D290" s="34" t="s">
        <v>1112</v>
      </c>
      <c r="E290" s="34" t="s">
        <v>1113</v>
      </c>
      <c r="F290" s="34" t="s">
        <v>1114</v>
      </c>
      <c r="G290" s="34" t="s">
        <v>1115</v>
      </c>
      <c r="H290" s="34" t="s">
        <v>1116</v>
      </c>
      <c r="I290" s="34" t="s">
        <v>1117</v>
      </c>
      <c r="J290" s="34" t="s">
        <v>1118</v>
      </c>
      <c r="K290" s="34" t="s">
        <v>1119</v>
      </c>
      <c r="L290" s="34" t="s">
        <v>1120</v>
      </c>
      <c r="M290" s="12"/>
      <c r="N290" s="12"/>
      <c r="O290" s="12"/>
      <c r="P290" s="12"/>
      <c r="Q290" s="12"/>
      <c r="R290" s="12"/>
      <c r="S290" s="12"/>
      <c r="T290" s="12"/>
      <c r="U290" s="12"/>
    </row>
    <row r="291">
      <c r="A291" s="16" t="s">
        <v>1121</v>
      </c>
      <c r="B291" s="22" t="s">
        <v>1122</v>
      </c>
      <c r="C291" s="28" t="n">
        <v>39000</v>
      </c>
      <c r="D291" s="28" t="n">
        <v>265908</v>
      </c>
      <c r="E291" s="28" t="n">
        <v>293000</v>
      </c>
      <c r="F291" s="28" t="n">
        <v>459000</v>
      </c>
      <c r="G291" s="28" t="n">
        <v>297000</v>
      </c>
      <c r="H291" s="28" t="n">
        <v>660325</v>
      </c>
      <c r="I291" s="24" t="n">
        <v>123354</v>
      </c>
      <c r="J291" s="28" t="n">
        <v>502739</v>
      </c>
      <c r="K291" s="28" t="n">
        <v>584383</v>
      </c>
      <c r="L291" s="28" t="n">
        <v>19198</v>
      </c>
      <c r="M291" s="12"/>
      <c r="N291" s="12"/>
      <c r="O291" s="12"/>
      <c r="P291" s="12"/>
      <c r="Q291" s="12"/>
      <c r="R291" s="12"/>
      <c r="S291" s="12"/>
      <c r="T291" s="12"/>
      <c r="U291" s="12"/>
    </row>
    <row r="292">
      <c r="A292" s="16"/>
      <c r="B292" s="22" t="s">
        <v>1123</v>
      </c>
      <c r="C292" s="28" t="n">
        <v>79</v>
      </c>
      <c r="D292" s="28" t="n">
        <v>8567</v>
      </c>
      <c r="E292" s="35" t="n">
        <v>6364</v>
      </c>
      <c r="F292" s="28" t="n">
        <v>8089</v>
      </c>
      <c r="G292" s="28" t="n">
        <v>7437</v>
      </c>
      <c r="H292" s="28" t="n">
        <v>35177</v>
      </c>
      <c r="I292" s="28" t="n">
        <v>2250</v>
      </c>
      <c r="J292" s="28" t="n">
        <v>10968</v>
      </c>
      <c r="K292" s="28" t="n">
        <v>1182</v>
      </c>
      <c r="L292" s="28" t="n">
        <v>121</v>
      </c>
      <c r="M292" s="12"/>
      <c r="N292" s="12"/>
      <c r="O292" s="12"/>
      <c r="P292" s="12"/>
      <c r="Q292" s="12"/>
      <c r="R292" s="12"/>
      <c r="S292" s="12"/>
      <c r="T292" s="12"/>
      <c r="U292" s="12"/>
    </row>
    <row r="293">
      <c r="A293" s="16"/>
      <c r="B293" s="22" t="s">
        <v>1124</v>
      </c>
      <c r="C293" s="28" t="n">
        <v>1619606</v>
      </c>
      <c r="D293" s="28" t="n">
        <v>35854</v>
      </c>
      <c r="E293" s="28" t="n">
        <v>74620</v>
      </c>
      <c r="F293" s="28" t="n">
        <v>264655</v>
      </c>
      <c r="G293" s="28" t="n">
        <v>131000</v>
      </c>
      <c r="H293" s="24" t="n">
        <v>168880</v>
      </c>
      <c r="I293" s="24" t="n">
        <v>958468</v>
      </c>
      <c r="J293" s="28" t="n">
        <v>130884</v>
      </c>
      <c r="K293" s="28" t="n">
        <v>365806</v>
      </c>
      <c r="L293" s="28" t="n">
        <v>85254</v>
      </c>
      <c r="M293" s="12"/>
      <c r="N293" s="12"/>
      <c r="O293" s="12"/>
      <c r="P293" s="12"/>
      <c r="Q293" s="12"/>
      <c r="R293" s="12"/>
      <c r="S293" s="12"/>
      <c r="T293" s="12"/>
      <c r="U293" s="12"/>
    </row>
    <row r="294">
      <c r="A294" s="16"/>
      <c r="B294" s="22"/>
      <c r="C294" s="34" t="s">
        <v>1125</v>
      </c>
      <c r="D294" s="34" t="s">
        <v>1126</v>
      </c>
      <c r="E294" s="34" t="s">
        <v>1127</v>
      </c>
      <c r="F294" s="34" t="s">
        <v>1128</v>
      </c>
      <c r="G294" s="34" t="s">
        <v>1129</v>
      </c>
      <c r="H294" s="34" t="s">
        <v>1130</v>
      </c>
      <c r="I294" s="34" t="s">
        <v>1131</v>
      </c>
      <c r="J294" s="34" t="s">
        <v>1132</v>
      </c>
      <c r="K294" s="34" t="s">
        <v>1133</v>
      </c>
      <c r="L294" s="34" t="s">
        <v>1134</v>
      </c>
      <c r="M294" s="12"/>
      <c r="N294" s="12"/>
      <c r="O294" s="12"/>
      <c r="P294" s="12"/>
      <c r="Q294" s="12"/>
      <c r="R294" s="12"/>
      <c r="S294" s="12"/>
      <c r="T294" s="12"/>
      <c r="U294" s="12"/>
    </row>
    <row r="295">
      <c r="A295" s="16" t="s">
        <v>1135</v>
      </c>
      <c r="B295" s="22" t="s">
        <v>1136</v>
      </c>
      <c r="C295" s="28" t="n">
        <v>50000</v>
      </c>
      <c r="D295" s="28" t="n">
        <v>388909</v>
      </c>
      <c r="E295" s="28" t="n">
        <v>234000</v>
      </c>
      <c r="F295" s="28" t="n">
        <v>433000</v>
      </c>
      <c r="G295" s="28" t="n">
        <v>261000</v>
      </c>
      <c r="H295" s="28" t="n">
        <v>343395</v>
      </c>
      <c r="I295" s="28" t="n">
        <v>83816</v>
      </c>
      <c r="J295" s="28" t="n">
        <v>34010</v>
      </c>
      <c r="K295" s="28" t="n">
        <v>161680</v>
      </c>
      <c r="L295" s="28" t="n">
        <v>13286</v>
      </c>
      <c r="M295" s="12"/>
      <c r="N295" s="12"/>
      <c r="O295" s="12"/>
      <c r="P295" s="12"/>
      <c r="Q295" s="12"/>
      <c r="R295" s="12"/>
      <c r="S295" s="12"/>
      <c r="T295" s="12"/>
      <c r="U295" s="12"/>
    </row>
    <row r="296">
      <c r="A296" s="16"/>
      <c r="B296" s="22" t="s">
        <v>1137</v>
      </c>
      <c r="C296" s="28" t="n">
        <v>152</v>
      </c>
      <c r="D296" s="28" t="n">
        <v>14133</v>
      </c>
      <c r="E296" s="35" t="n">
        <v>6163</v>
      </c>
      <c r="F296" s="28" t="n">
        <v>7965</v>
      </c>
      <c r="G296" s="28" t="n">
        <v>5490</v>
      </c>
      <c r="H296" s="28" t="n">
        <v>20295</v>
      </c>
      <c r="I296" s="24" t="n">
        <v>1232</v>
      </c>
      <c r="J296" s="28" t="n">
        <v>731</v>
      </c>
      <c r="K296" s="28" t="n">
        <v>962</v>
      </c>
      <c r="L296" s="28" t="n">
        <v>185</v>
      </c>
      <c r="M296" s="12"/>
      <c r="N296" s="12"/>
      <c r="O296" s="12"/>
      <c r="P296" s="12"/>
      <c r="Q296" s="12"/>
      <c r="R296" s="12"/>
      <c r="S296" s="12"/>
      <c r="T296" s="12"/>
      <c r="U296" s="12"/>
    </row>
    <row r="297">
      <c r="A297" s="16"/>
      <c r="B297" s="22" t="s">
        <v>1138</v>
      </c>
      <c r="C297" s="28" t="n">
        <v>1619696</v>
      </c>
      <c r="D297" s="24" t="n">
        <v>34385</v>
      </c>
      <c r="E297" s="28" t="n">
        <v>73774</v>
      </c>
      <c r="F297" s="28" t="n">
        <v>263262</v>
      </c>
      <c r="G297" s="28" t="n">
        <v>130000</v>
      </c>
      <c r="H297" s="24" t="n">
        <v>163894</v>
      </c>
      <c r="I297" s="24" t="n">
        <v>958034</v>
      </c>
      <c r="J297" s="28" t="n">
        <v>129528</v>
      </c>
      <c r="K297" s="28" t="n">
        <v>365600</v>
      </c>
      <c r="L297" s="28" t="n">
        <v>85203</v>
      </c>
      <c r="M297" s="12"/>
      <c r="N297" s="12"/>
      <c r="O297" s="12"/>
      <c r="P297" s="12"/>
      <c r="Q297" s="12"/>
      <c r="R297" s="12"/>
      <c r="S297" s="12"/>
      <c r="T297" s="12"/>
      <c r="U297" s="12"/>
    </row>
    <row r="298">
      <c r="A298" s="16"/>
      <c r="B298" s="22"/>
      <c r="C298" s="34" t="s">
        <v>1139</v>
      </c>
      <c r="D298" s="34" t="s">
        <v>1140</v>
      </c>
      <c r="E298" s="34" t="s">
        <v>1141</v>
      </c>
      <c r="F298" s="34" t="s">
        <v>1142</v>
      </c>
      <c r="G298" s="34" t="s">
        <v>1143</v>
      </c>
      <c r="H298" s="34" t="s">
        <v>1144</v>
      </c>
      <c r="I298" s="34" t="s">
        <v>1145</v>
      </c>
      <c r="J298" s="34" t="s">
        <v>1146</v>
      </c>
      <c r="K298" s="34" t="s">
        <v>1147</v>
      </c>
      <c r="L298" s="34" t="s">
        <v>1148</v>
      </c>
      <c r="M298" s="12"/>
      <c r="N298" s="12"/>
      <c r="O298" s="12"/>
      <c r="P298" s="12"/>
      <c r="Q298" s="12"/>
      <c r="R298" s="12"/>
      <c r="S298" s="12"/>
      <c r="T298" s="12"/>
      <c r="U298" s="12"/>
    </row>
    <row r="299">
      <c r="A299" s="16" t="s">
        <v>1149</v>
      </c>
      <c r="B299" s="22" t="s">
        <v>1150</v>
      </c>
      <c r="C299" s="28" t="n">
        <v>35000</v>
      </c>
      <c r="D299" s="28" t="n">
        <v>299391</v>
      </c>
      <c r="E299" s="28" t="n">
        <v>389000</v>
      </c>
      <c r="F299" s="28" t="n">
        <v>720000</v>
      </c>
      <c r="G299" s="28" t="n">
        <v>279355</v>
      </c>
      <c r="H299" s="28" t="n">
        <v>566116</v>
      </c>
      <c r="I299" s="28" t="n">
        <v>146068</v>
      </c>
      <c r="J299" s="28" t="n">
        <v>271764</v>
      </c>
      <c r="K299" s="28" t="n">
        <v>706533</v>
      </c>
      <c r="L299" s="28" t="n">
        <v>14022</v>
      </c>
      <c r="M299" s="12"/>
      <c r="N299" s="12"/>
      <c r="O299" s="12"/>
      <c r="P299" s="12"/>
      <c r="Q299" s="12"/>
      <c r="R299" s="12"/>
      <c r="S299" s="12"/>
      <c r="T299" s="12"/>
      <c r="U299" s="12"/>
    </row>
    <row r="300">
      <c r="A300" s="16"/>
      <c r="B300" s="22" t="s">
        <v>1151</v>
      </c>
      <c r="C300" s="28" t="n">
        <v>118</v>
      </c>
      <c r="D300" s="28" t="n">
        <v>6336</v>
      </c>
      <c r="E300" s="28" t="n">
        <v>13535</v>
      </c>
      <c r="F300" s="28" t="n">
        <v>4894</v>
      </c>
      <c r="G300" s="28" t="n">
        <v>7278</v>
      </c>
      <c r="H300" s="28" t="n">
        <v>35342</v>
      </c>
      <c r="I300" s="24" t="n">
        <v>2426</v>
      </c>
      <c r="J300" s="28" t="n">
        <v>10213</v>
      </c>
      <c r="K300" s="28" t="n">
        <v>7047</v>
      </c>
      <c r="L300" s="28" t="n">
        <v>144</v>
      </c>
      <c r="M300" s="12"/>
      <c r="N300" s="12"/>
      <c r="O300" s="12"/>
      <c r="P300" s="12"/>
      <c r="Q300" s="12"/>
      <c r="R300" s="12"/>
      <c r="S300" s="12"/>
      <c r="T300" s="12"/>
      <c r="U300" s="12"/>
    </row>
    <row r="301">
      <c r="A301" s="16"/>
      <c r="B301" s="22" t="s">
        <v>1152</v>
      </c>
      <c r="C301" s="28" t="n">
        <v>1619704</v>
      </c>
      <c r="D301" s="24" t="n">
        <v>31533</v>
      </c>
      <c r="E301" s="28" t="n">
        <v>72996</v>
      </c>
      <c r="F301" s="28" t="n">
        <v>261737</v>
      </c>
      <c r="G301" s="28" t="n">
        <v>129000</v>
      </c>
      <c r="H301" s="24" t="n">
        <v>159360</v>
      </c>
      <c r="I301" s="24" t="n">
        <v>957049</v>
      </c>
      <c r="J301" s="28" t="n">
        <v>128056</v>
      </c>
      <c r="K301" s="28" t="n">
        <v>365402</v>
      </c>
      <c r="L301" s="28" t="n">
        <v>85151</v>
      </c>
      <c r="M301" s="12"/>
      <c r="N301" s="12"/>
      <c r="O301" s="12"/>
      <c r="P301" s="12"/>
      <c r="Q301" s="12"/>
      <c r="R301" s="12"/>
      <c r="S301" s="12"/>
      <c r="T301" s="12"/>
      <c r="U301" s="12"/>
    </row>
    <row r="302">
      <c r="A302" s="34"/>
      <c r="B302" s="34"/>
      <c r="C302" s="34" t="s">
        <v>1153</v>
      </c>
      <c r="D302" s="34" t="s">
        <v>1154</v>
      </c>
      <c r="E302" s="34" t="s">
        <v>1155</v>
      </c>
      <c r="F302" s="34" t="s">
        <v>1156</v>
      </c>
      <c r="G302" s="34" t="s">
        <v>1157</v>
      </c>
      <c r="H302" s="34" t="s">
        <v>1158</v>
      </c>
      <c r="I302" s="34" t="s">
        <v>1159</v>
      </c>
      <c r="J302" s="34" t="s">
        <v>1160</v>
      </c>
      <c r="K302" s="34" t="s">
        <v>1161</v>
      </c>
      <c r="L302" s="34" t="s">
        <v>1162</v>
      </c>
      <c r="M302" s="12"/>
      <c r="N302" s="12"/>
      <c r="O302" s="12"/>
      <c r="P302" s="12"/>
      <c r="Q302" s="12"/>
      <c r="R302" s="12"/>
      <c r="S302" s="12"/>
      <c r="T302" s="12"/>
      <c r="U302" s="12"/>
    </row>
    <row r="303">
      <c r="A303" s="16" t="s">
        <v>1163</v>
      </c>
      <c r="B303" s="22" t="s">
        <v>1164</v>
      </c>
      <c r="C303" s="28" t="n">
        <v>50000</v>
      </c>
      <c r="D303" s="28" t="n">
        <v>341001</v>
      </c>
      <c r="E303" s="28" t="n">
        <v>972000</v>
      </c>
      <c r="F303" s="36" t="n">
        <v>1294000</v>
      </c>
      <c r="G303" s="28" t="n">
        <v>307460</v>
      </c>
      <c r="H303" s="28" t="n">
        <v>655427</v>
      </c>
      <c r="I303" s="24" t="n">
        <v>485027</v>
      </c>
      <c r="J303" s="28" t="n">
        <v>254145</v>
      </c>
      <c r="K303" s="36" t="n">
        <v>1141581</v>
      </c>
      <c r="L303" s="28" t="n">
        <v>13476</v>
      </c>
      <c r="M303" s="12"/>
      <c r="N303" s="12"/>
      <c r="O303" s="12"/>
      <c r="P303" s="12"/>
      <c r="Q303" s="12"/>
      <c r="R303" s="12"/>
      <c r="S303" s="12"/>
      <c r="T303" s="12"/>
      <c r="U303" s="12"/>
    </row>
    <row r="304">
      <c r="A304" s="16"/>
      <c r="B304" s="22" t="s">
        <v>1165</v>
      </c>
      <c r="C304" s="28" t="n">
        <v>212</v>
      </c>
      <c r="D304" s="28" t="n">
        <v>6790</v>
      </c>
      <c r="E304" s="28" t="n">
        <v>45507</v>
      </c>
      <c r="F304" s="28" t="n">
        <v>27907</v>
      </c>
      <c r="G304" s="28" t="n">
        <v>9034</v>
      </c>
      <c r="H304" s="28" t="n">
        <v>54075</v>
      </c>
      <c r="I304" s="24" t="n">
        <v>7156</v>
      </c>
      <c r="J304" s="28" t="n">
        <v>14288</v>
      </c>
      <c r="K304" s="28" t="n">
        <v>7918</v>
      </c>
      <c r="L304" s="28" t="n">
        <v>44</v>
      </c>
      <c r="M304" s="12"/>
      <c r="N304" s="12"/>
      <c r="O304" s="12"/>
      <c r="P304" s="12"/>
      <c r="Q304" s="12"/>
      <c r="R304" s="12"/>
      <c r="S304" s="12"/>
      <c r="T304" s="12"/>
      <c r="U304" s="12"/>
    </row>
    <row r="305">
      <c r="A305" s="16"/>
      <c r="B305" s="22" t="s">
        <v>1166</v>
      </c>
      <c r="C305" s="28" t="n">
        <v>1619746</v>
      </c>
      <c r="D305" s="24" t="n">
        <v>27971</v>
      </c>
      <c r="E305" s="28" t="n">
        <v>70896</v>
      </c>
      <c r="F305" s="28" t="n">
        <v>257598</v>
      </c>
      <c r="G305" s="28" t="n">
        <v>128000</v>
      </c>
      <c r="H305" s="24" t="n">
        <v>151994</v>
      </c>
      <c r="I305" s="24" t="n">
        <v>955518</v>
      </c>
      <c r="J305" s="28" t="n">
        <v>126084</v>
      </c>
      <c r="K305" s="28" t="n">
        <v>365083</v>
      </c>
      <c r="L305" s="28" t="n">
        <v>85102</v>
      </c>
      <c r="M305" s="12"/>
      <c r="N305" s="12"/>
      <c r="O305" s="12"/>
      <c r="P305" s="12"/>
      <c r="Q305" s="12"/>
      <c r="R305" s="12"/>
      <c r="S305" s="12"/>
      <c r="T305" s="12"/>
      <c r="U305" s="12"/>
    </row>
    <row r="306">
      <c r="A306" s="16"/>
      <c r="B306" s="22"/>
      <c r="C306" s="34" t="s">
        <v>1167</v>
      </c>
      <c r="D306" s="34" t="s">
        <v>1168</v>
      </c>
      <c r="E306" s="34" t="s">
        <v>1169</v>
      </c>
      <c r="F306" s="34" t="s">
        <v>1170</v>
      </c>
      <c r="G306" s="34" t="s">
        <v>1171</v>
      </c>
      <c r="H306" s="34" t="s">
        <v>1172</v>
      </c>
      <c r="I306" s="34" t="s">
        <v>1173</v>
      </c>
      <c r="J306" s="34" t="s">
        <v>1174</v>
      </c>
      <c r="K306" s="34" t="s">
        <v>1175</v>
      </c>
      <c r="L306" s="34" t="s">
        <v>1176</v>
      </c>
      <c r="M306" s="12"/>
      <c r="N306" s="12"/>
      <c r="O306" s="12"/>
      <c r="P306" s="12"/>
      <c r="Q306" s="12"/>
      <c r="R306" s="12"/>
      <c r="S306" s="12"/>
      <c r="T306" s="12"/>
      <c r="U306" s="12"/>
    </row>
    <row r="307">
      <c r="A307" s="16" t="s">
        <v>1177</v>
      </c>
      <c r="B307" s="22" t="s">
        <v>1178</v>
      </c>
      <c r="C307" s="28" t="n">
        <v>42000</v>
      </c>
      <c r="D307" s="28" t="n">
        <v>66887</v>
      </c>
      <c r="E307" s="28" t="n">
        <v>377000</v>
      </c>
      <c r="F307" s="28" t="n">
        <v>450000</v>
      </c>
      <c r="G307" s="28" t="n">
        <v>149936</v>
      </c>
      <c r="H307" s="28" t="n">
        <v>303327</v>
      </c>
      <c r="I307" s="24" t="n">
        <v>86547</v>
      </c>
      <c r="J307" s="28" t="n">
        <v>61740</v>
      </c>
      <c r="K307" s="28" t="n">
        <v>308355</v>
      </c>
      <c r="L307" s="28" t="n">
        <v>13680</v>
      </c>
      <c r="M307" s="12"/>
      <c r="N307" s="12"/>
      <c r="O307" s="12"/>
      <c r="P307" s="12"/>
      <c r="Q307" s="12"/>
      <c r="R307" s="12"/>
      <c r="S307" s="12"/>
      <c r="T307" s="12"/>
      <c r="U307" s="12"/>
    </row>
    <row r="308">
      <c r="A308" s="16"/>
      <c r="B308" s="22" t="s">
        <v>1179</v>
      </c>
      <c r="C308" s="28"/>
      <c r="D308" s="28" t="n">
        <v>1425</v>
      </c>
      <c r="E308" s="28" t="n">
        <v>12177</v>
      </c>
      <c r="F308" s="28" t="n">
        <v>1824</v>
      </c>
      <c r="G308" s="28" t="n">
        <v>3753</v>
      </c>
      <c r="H308" s="28" t="n">
        <v>14222</v>
      </c>
      <c r="I308" s="24" t="n">
        <v>1605</v>
      </c>
      <c r="J308" s="28" t="n">
        <v>2011</v>
      </c>
      <c r="K308" s="28" t="n">
        <v>874</v>
      </c>
      <c r="L308" s="28" t="n">
        <v>102</v>
      </c>
      <c r="M308" s="12"/>
      <c r="N308" s="12"/>
      <c r="O308" s="12"/>
      <c r="P308" s="12"/>
      <c r="Q308" s="12"/>
      <c r="R308" s="12"/>
      <c r="S308" s="12"/>
      <c r="T308" s="12"/>
      <c r="U308" s="12"/>
    </row>
    <row r="309">
      <c r="A309" s="16"/>
      <c r="B309" s="22" t="s">
        <v>1180</v>
      </c>
      <c r="C309" s="28" t="s">
        <v>1181</v>
      </c>
      <c r="D309" s="28" t="n">
        <v>27072</v>
      </c>
      <c r="E309" s="28" t="n">
        <v>54968</v>
      </c>
      <c r="F309" s="35" t="n">
        <v>252119</v>
      </c>
      <c r="G309" s="28" t="n">
        <v>126000</v>
      </c>
      <c r="H309" s="24" t="n">
        <v>141500</v>
      </c>
      <c r="I309" s="24" t="n">
        <v>952247</v>
      </c>
      <c r="J309" s="28" t="n">
        <v>123761</v>
      </c>
      <c r="K309" s="28" t="n">
        <v>364226</v>
      </c>
      <c r="L309" s="28" t="n">
        <v>85066</v>
      </c>
      <c r="M309" s="12"/>
      <c r="N309" s="12"/>
      <c r="O309" s="12"/>
      <c r="P309" s="12"/>
      <c r="Q309" s="12"/>
      <c r="R309" s="12"/>
      <c r="S309" s="12"/>
      <c r="T309" s="12"/>
      <c r="U309" s="12"/>
    </row>
    <row r="310">
      <c r="A310" s="16"/>
      <c r="B310" s="22"/>
      <c r="C310" s="34" t="s">
        <v>1182</v>
      </c>
      <c r="D310" s="34" t="s">
        <v>1183</v>
      </c>
      <c r="E310" s="34" t="s">
        <v>1184</v>
      </c>
      <c r="F310" s="34" t="s">
        <v>1185</v>
      </c>
      <c r="G310" s="34" t="s">
        <v>1186</v>
      </c>
      <c r="H310" s="34" t="s">
        <v>1187</v>
      </c>
      <c r="I310" s="34" t="s">
        <v>1188</v>
      </c>
      <c r="J310" s="34" t="s">
        <v>1189</v>
      </c>
      <c r="K310" s="34" t="s">
        <v>1190</v>
      </c>
      <c r="L310" s="34" t="s">
        <v>1191</v>
      </c>
      <c r="M310" s="12"/>
      <c r="N310" s="12"/>
      <c r="O310" s="12"/>
      <c r="P310" s="12"/>
      <c r="Q310" s="12"/>
      <c r="R310" s="12"/>
      <c r="S310" s="12"/>
      <c r="T310" s="12"/>
      <c r="U310" s="12"/>
    </row>
    <row r="311">
      <c r="A311" s="16" t="s">
        <v>1192</v>
      </c>
      <c r="B311" s="22" t="s">
        <v>1193</v>
      </c>
      <c r="C311" s="28" t="n">
        <v>44858</v>
      </c>
      <c r="D311" s="28" t="n">
        <v>26394</v>
      </c>
      <c r="E311" s="28" t="n">
        <v>183868</v>
      </c>
      <c r="F311" s="28" t="n">
        <v>349211</v>
      </c>
      <c r="G311" s="28" t="n">
        <v>121000</v>
      </c>
      <c r="H311" s="28" t="n">
        <v>150849</v>
      </c>
      <c r="I311" s="24" t="n">
        <v>113626</v>
      </c>
      <c r="J311" s="28" t="n">
        <v>62263</v>
      </c>
      <c r="K311" s="28" t="n">
        <v>78787</v>
      </c>
      <c r="L311" s="28" t="n">
        <v>13191</v>
      </c>
      <c r="M311" s="12"/>
      <c r="N311" s="12"/>
      <c r="O311" s="12"/>
      <c r="P311" s="12"/>
      <c r="Q311" s="12"/>
      <c r="R311" s="12"/>
      <c r="S311" s="12"/>
      <c r="T311" s="12"/>
      <c r="U311" s="12"/>
    </row>
    <row r="312">
      <c r="A312" s="16"/>
      <c r="B312" s="22" t="s">
        <v>1194</v>
      </c>
      <c r="C312" s="28"/>
      <c r="D312" s="28" t="n">
        <v>730</v>
      </c>
      <c r="E312" s="28" t="n">
        <v>4785</v>
      </c>
      <c r="F312" s="28" t="n">
        <v>4211</v>
      </c>
      <c r="G312" s="28" t="n">
        <v>2800</v>
      </c>
      <c r="H312" s="28" t="n">
        <v>2484</v>
      </c>
      <c r="I312" s="24" t="n">
        <v>1796</v>
      </c>
      <c r="J312" s="28" t="n">
        <v>2619</v>
      </c>
      <c r="K312" s="28" t="n">
        <v>287</v>
      </c>
      <c r="L312" s="28" t="n">
        <v>136</v>
      </c>
      <c r="M312" s="12"/>
      <c r="N312" s="12"/>
      <c r="O312" s="12"/>
      <c r="P312" s="12"/>
      <c r="Q312" s="12"/>
      <c r="R312" s="12"/>
      <c r="S312" s="12"/>
      <c r="T312" s="12"/>
      <c r="U312" s="12"/>
    </row>
    <row r="313">
      <c r="A313" s="16"/>
      <c r="B313" s="22" t="s">
        <v>1195</v>
      </c>
      <c r="C313" s="28" t="n">
        <v>1621000</v>
      </c>
      <c r="D313" s="28" t="n">
        <v>27000</v>
      </c>
      <c r="E313" s="28" t="n">
        <v>51770</v>
      </c>
      <c r="F313" s="28" t="n">
        <v>248000</v>
      </c>
      <c r="G313" s="28" t="n">
        <v>126000</v>
      </c>
      <c r="H313" s="28" t="n">
        <v>135283</v>
      </c>
      <c r="I313" s="24" t="n">
        <v>950913</v>
      </c>
      <c r="J313" s="28" t="n">
        <v>122998</v>
      </c>
      <c r="K313" s="28" t="n">
        <v>364036</v>
      </c>
      <c r="L313" s="28" t="n">
        <v>85035</v>
      </c>
      <c r="M313" s="12"/>
      <c r="N313" s="12"/>
      <c r="O313" s="12"/>
      <c r="P313" s="12"/>
      <c r="Q313" s="12"/>
      <c r="R313" s="12"/>
      <c r="S313" s="12"/>
      <c r="T313" s="12"/>
      <c r="U313" s="12"/>
    </row>
    <row r="314">
      <c r="A314" s="16"/>
      <c r="B314" s="22"/>
      <c r="C314" s="34" t="s">
        <v>1196</v>
      </c>
      <c r="D314" s="34" t="s">
        <v>1197</v>
      </c>
      <c r="E314" s="34" t="s">
        <v>1198</v>
      </c>
      <c r="F314" s="34" t="s">
        <v>1199</v>
      </c>
      <c r="G314" s="34" t="s">
        <v>1200</v>
      </c>
      <c r="H314" s="34" t="s">
        <v>1201</v>
      </c>
      <c r="I314" s="34" t="s">
        <v>1202</v>
      </c>
      <c r="J314" s="34" t="s">
        <v>1203</v>
      </c>
      <c r="K314" s="34" t="s">
        <v>1204</v>
      </c>
      <c r="L314" s="34" t="s">
        <v>1205</v>
      </c>
      <c r="M314" s="12"/>
      <c r="N314" s="12"/>
      <c r="O314" s="12"/>
      <c r="P314" s="12"/>
      <c r="Q314" s="12"/>
      <c r="R314" s="12"/>
      <c r="S314" s="12"/>
      <c r="T314" s="12"/>
      <c r="U314" s="12"/>
    </row>
    <row r="315">
      <c r="A315" s="16" t="s">
        <v>1206</v>
      </c>
      <c r="B315" s="22" t="s">
        <v>1207</v>
      </c>
      <c r="C315" s="28" t="n">
        <v>13000</v>
      </c>
      <c r="D315" s="28" t="n">
        <v>23000</v>
      </c>
      <c r="E315" s="28" t="n">
        <v>169000</v>
      </c>
      <c r="F315" s="28" t="n">
        <v>300000</v>
      </c>
      <c r="G315" s="28" t="n">
        <v>109000</v>
      </c>
      <c r="H315" s="28" t="n">
        <v>106021</v>
      </c>
      <c r="I315" s="24" t="n">
        <v>51390</v>
      </c>
      <c r="J315" s="28" t="n">
        <v>112894</v>
      </c>
      <c r="K315" s="28" t="n">
        <v>167672</v>
      </c>
      <c r="L315" s="28" t="n">
        <v>23335</v>
      </c>
      <c r="M315" s="12"/>
      <c r="N315" s="12"/>
      <c r="O315" s="12"/>
      <c r="P315" s="12"/>
      <c r="Q315" s="12"/>
      <c r="R315" s="12"/>
      <c r="S315" s="12"/>
      <c r="T315" s="12"/>
      <c r="U315" s="12"/>
    </row>
    <row r="316">
      <c r="A316" s="16"/>
      <c r="B316" s="22" t="s">
        <v>1208</v>
      </c>
      <c r="C316" s="28"/>
      <c r="D316" s="28" t="n">
        <v>800</v>
      </c>
      <c r="E316" s="28" t="n">
        <v>5100</v>
      </c>
      <c r="F316" s="28" t="n">
        <v>3000</v>
      </c>
      <c r="G316" s="28" t="n">
        <v>2500</v>
      </c>
      <c r="H316" s="28" t="n">
        <v>4000</v>
      </c>
      <c r="I316" s="28" t="n">
        <v>965</v>
      </c>
      <c r="J316" s="28" t="n">
        <v>4594</v>
      </c>
      <c r="K316" s="28" t="n">
        <v>918</v>
      </c>
      <c r="L316" s="28" t="n">
        <v>220</v>
      </c>
      <c r="M316" s="12"/>
      <c r="N316" s="12"/>
      <c r="O316" s="12"/>
      <c r="P316" s="12"/>
      <c r="Q316" s="12"/>
      <c r="R316" s="12"/>
      <c r="S316" s="12"/>
      <c r="T316" s="12"/>
      <c r="U316" s="12"/>
    </row>
    <row r="317">
      <c r="A317" s="16"/>
      <c r="B317" s="22" t="s">
        <v>1209</v>
      </c>
      <c r="C317" s="28" t="n">
        <v>1621000</v>
      </c>
      <c r="D317" s="28" t="n">
        <v>26623</v>
      </c>
      <c r="E317" s="28" t="n">
        <v>51463</v>
      </c>
      <c r="F317" s="28" t="n">
        <v>248000</v>
      </c>
      <c r="G317" s="28" t="n">
        <v>126000</v>
      </c>
      <c r="H317" s="28" t="n">
        <v>134546</v>
      </c>
      <c r="I317" s="24" t="n">
        <v>950816</v>
      </c>
      <c r="J317" s="28" t="n">
        <v>122882</v>
      </c>
      <c r="K317" s="28" t="n">
        <v>364033</v>
      </c>
      <c r="L317" s="28" t="n">
        <v>84992</v>
      </c>
      <c r="M317" s="12"/>
      <c r="N317" s="12"/>
      <c r="O317" s="12"/>
      <c r="P317" s="12"/>
      <c r="Q317" s="12"/>
      <c r="R317" s="12"/>
      <c r="S317" s="12"/>
      <c r="T317" s="12"/>
      <c r="U317" s="12"/>
    </row>
    <row r="318">
      <c r="A318" s="34"/>
      <c r="B318" s="34"/>
      <c r="C318" s="34" t="s">
        <v>1210</v>
      </c>
      <c r="D318" s="34" t="s">
        <v>1211</v>
      </c>
      <c r="E318" s="34" t="s">
        <v>1212</v>
      </c>
      <c r="F318" s="34" t="s">
        <v>1213</v>
      </c>
      <c r="G318" s="34" t="s">
        <v>1214</v>
      </c>
      <c r="H318" s="34" t="s">
        <v>1215</v>
      </c>
      <c r="I318" s="34" t="s">
        <v>1216</v>
      </c>
      <c r="J318" s="34" t="s">
        <v>1217</v>
      </c>
      <c r="K318" s="34" t="s">
        <v>1218</v>
      </c>
      <c r="L318" s="34" t="s">
        <v>1219</v>
      </c>
      <c r="M318" s="12"/>
      <c r="N318" s="12"/>
      <c r="O318" s="12"/>
      <c r="P318" s="12"/>
      <c r="Q318" s="12"/>
      <c r="R318" s="12"/>
      <c r="S318" s="12"/>
      <c r="T318" s="12"/>
      <c r="U318" s="12"/>
    </row>
    <row r="319">
      <c r="A319" s="16" t="s">
        <v>1220</v>
      </c>
      <c r="B319" s="22" t="s">
        <v>1221</v>
      </c>
      <c r="C319" s="28" t="n">
        <v>38000</v>
      </c>
      <c r="D319" s="28" t="n">
        <v>16000</v>
      </c>
      <c r="E319" s="28" t="n">
        <v>239000</v>
      </c>
      <c r="F319" s="28" t="n">
        <v>1305000</v>
      </c>
      <c r="G319" s="28" t="n">
        <v>105000</v>
      </c>
      <c r="H319" s="28" t="n">
        <v>112790</v>
      </c>
      <c r="I319" s="24" t="n">
        <v>111882</v>
      </c>
      <c r="J319" s="28" t="n">
        <v>122164</v>
      </c>
      <c r="K319" s="28" t="n">
        <v>138464</v>
      </c>
      <c r="L319" s="28" t="n">
        <v>31142</v>
      </c>
      <c r="M319" s="12"/>
      <c r="N319" s="12"/>
      <c r="O319" s="12"/>
      <c r="P319" s="12"/>
      <c r="Q319" s="12"/>
      <c r="R319" s="12"/>
      <c r="S319" s="12"/>
      <c r="T319" s="12"/>
      <c r="U319" s="12"/>
    </row>
    <row r="320">
      <c r="A320" s="16"/>
      <c r="B320" s="22" t="s">
        <v>1222</v>
      </c>
      <c r="C320" s="28"/>
      <c r="D320" s="28" t="n">
        <v>600</v>
      </c>
      <c r="E320" s="28" t="n">
        <v>10600</v>
      </c>
      <c r="F320" s="28" t="n">
        <v>27000</v>
      </c>
      <c r="G320" s="28" t="n">
        <v>2200</v>
      </c>
      <c r="H320" s="28" t="n">
        <v>4700</v>
      </c>
      <c r="I320" s="24" t="n">
        <v>1679</v>
      </c>
      <c r="J320" s="28" t="n">
        <v>2295</v>
      </c>
      <c r="K320" s="28" t="n">
        <v>1474</v>
      </c>
      <c r="L320" s="28" t="n">
        <v>119</v>
      </c>
      <c r="M320" s="12"/>
      <c r="N320" s="12"/>
      <c r="O320" s="12"/>
      <c r="P320" s="12"/>
      <c r="Q320" s="12"/>
      <c r="R320" s="12"/>
      <c r="S320" s="12"/>
      <c r="T320" s="12"/>
      <c r="U320" s="12"/>
    </row>
    <row r="321">
      <c r="A321" s="16"/>
      <c r="B321" s="22" t="s">
        <v>1223</v>
      </c>
      <c r="C321" s="28" t="s">
        <v>1224</v>
      </c>
      <c r="D321" s="28" t="n">
        <v>26360</v>
      </c>
      <c r="E321" s="28" t="n">
        <v>50776</v>
      </c>
      <c r="F321" s="28" t="n">
        <v>247000</v>
      </c>
      <c r="G321" s="28" t="n">
        <v>126000</v>
      </c>
      <c r="H321" s="28" t="n">
        <v>133000</v>
      </c>
      <c r="I321" s="24" t="n">
        <v>950303</v>
      </c>
      <c r="J321" s="28" t="n">
        <v>121939</v>
      </c>
      <c r="K321" s="28" t="n">
        <v>363844</v>
      </c>
      <c r="L321" s="28" t="n">
        <v>84924</v>
      </c>
      <c r="M321" s="12"/>
      <c r="N321" s="12"/>
      <c r="O321" s="12"/>
      <c r="P321" s="12"/>
      <c r="Q321" s="12"/>
      <c r="R321" s="12"/>
      <c r="S321" s="12"/>
      <c r="T321" s="12"/>
      <c r="U321" s="12"/>
    </row>
    <row r="322">
      <c r="A322" s="16"/>
      <c r="B322" s="22"/>
      <c r="C322" s="34" t="s">
        <v>1225</v>
      </c>
      <c r="D322" s="34" t="s">
        <v>1226</v>
      </c>
      <c r="E322" s="34" t="s">
        <v>1227</v>
      </c>
      <c r="F322" s="34" t="s">
        <v>1228</v>
      </c>
      <c r="G322" s="34" t="s">
        <v>1229</v>
      </c>
      <c r="H322" s="34" t="s">
        <v>1230</v>
      </c>
      <c r="I322" s="34" t="s">
        <v>1231</v>
      </c>
      <c r="J322" s="34" t="s">
        <v>1232</v>
      </c>
      <c r="K322" s="34" t="s">
        <v>1233</v>
      </c>
      <c r="L322" s="34" t="s">
        <v>1234</v>
      </c>
      <c r="M322" s="12"/>
      <c r="N322" s="12"/>
      <c r="O322" s="12"/>
      <c r="P322" s="12"/>
      <c r="Q322" s="12"/>
      <c r="R322" s="12"/>
      <c r="S322" s="12"/>
      <c r="T322" s="12"/>
      <c r="U322" s="12"/>
    </row>
    <row r="323">
      <c r="A323" s="16" t="s">
        <v>1235</v>
      </c>
      <c r="B323" s="22" t="s">
        <v>1236</v>
      </c>
      <c r="C323" s="28" t="n">
        <v>37000</v>
      </c>
      <c r="D323" s="28" t="n">
        <v>32000</v>
      </c>
      <c r="E323" s="28" t="n">
        <v>199000</v>
      </c>
      <c r="F323" s="28" t="n">
        <v>483000</v>
      </c>
      <c r="G323" s="28" t="n">
        <v>274000</v>
      </c>
      <c r="H323" s="28" t="n">
        <v>243085</v>
      </c>
      <c r="I323" s="24" t="n">
        <v>141483</v>
      </c>
      <c r="J323" s="28" t="n">
        <v>260585</v>
      </c>
      <c r="K323" s="28" t="n">
        <v>234295</v>
      </c>
      <c r="L323" s="28" t="n">
        <v>14699</v>
      </c>
      <c r="M323" s="12"/>
      <c r="N323" s="12"/>
      <c r="O323" s="12"/>
      <c r="P323" s="12"/>
      <c r="Q323" s="12"/>
      <c r="R323" s="12"/>
      <c r="S323" s="12"/>
      <c r="T323" s="12"/>
      <c r="U323" s="12"/>
    </row>
    <row r="324">
      <c r="A324" s="16"/>
      <c r="B324" s="22" t="s">
        <v>1237</v>
      </c>
      <c r="C324" s="28"/>
      <c r="D324" s="28" t="n">
        <v>960</v>
      </c>
      <c r="E324" s="28" t="n">
        <v>5800</v>
      </c>
      <c r="F324" s="28" t="n">
        <v>10000</v>
      </c>
      <c r="G324" s="28" t="n">
        <v>7700</v>
      </c>
      <c r="H324" s="28" t="n">
        <v>131000</v>
      </c>
      <c r="I324" s="28" t="n">
        <v>1874</v>
      </c>
      <c r="J324" s="28" t="n">
        <v>5936</v>
      </c>
      <c r="K324" s="28" t="n">
        <v>4027</v>
      </c>
      <c r="L324" s="28" t="n">
        <v>115</v>
      </c>
      <c r="M324" s="12"/>
      <c r="N324" s="12"/>
      <c r="O324" s="12"/>
      <c r="P324" s="12"/>
      <c r="Q324" s="12"/>
      <c r="R324" s="12"/>
      <c r="S324" s="12"/>
      <c r="T324" s="12"/>
      <c r="U324" s="12"/>
    </row>
    <row r="325">
      <c r="A325" s="16"/>
      <c r="B325" s="22" t="s">
        <v>1238</v>
      </c>
      <c r="C325" s="28" t="s">
        <v>1239</v>
      </c>
      <c r="D325" s="28" t="n">
        <v>26084</v>
      </c>
      <c r="E325" s="28" t="n">
        <v>49339</v>
      </c>
      <c r="F325" s="28" t="n">
        <v>234000</v>
      </c>
      <c r="G325" s="28" t="n">
        <v>125000</v>
      </c>
      <c r="H325" s="28" t="n">
        <v>130984</v>
      </c>
      <c r="I325" s="24" t="n">
        <v>949433</v>
      </c>
      <c r="J325" s="28" t="n">
        <v>121401</v>
      </c>
      <c r="K325" s="37" t="n">
        <v>363564</v>
      </c>
      <c r="L325" s="28" t="n">
        <v>84878</v>
      </c>
      <c r="M325" s="12"/>
      <c r="N325" s="12"/>
      <c r="O325" s="12"/>
      <c r="P325" s="12"/>
      <c r="Q325" s="12"/>
      <c r="R325" s="12"/>
      <c r="S325" s="12"/>
      <c r="T325" s="12"/>
      <c r="U325" s="12"/>
    </row>
    <row r="326">
      <c r="A326" s="34"/>
      <c r="B326" s="34"/>
      <c r="C326" s="34" t="s">
        <v>1240</v>
      </c>
      <c r="D326" s="34" t="s">
        <v>1241</v>
      </c>
      <c r="E326" s="34" t="s">
        <v>1242</v>
      </c>
      <c r="F326" s="34" t="s">
        <v>1243</v>
      </c>
      <c r="G326" s="34" t="s">
        <v>1244</v>
      </c>
      <c r="H326" s="34" t="s">
        <v>1245</v>
      </c>
      <c r="I326" s="34" t="s">
        <v>1246</v>
      </c>
      <c r="J326" s="34" t="s">
        <v>1247</v>
      </c>
      <c r="K326" s="34" t="s">
        <v>1248</v>
      </c>
      <c r="L326" s="34" t="s">
        <v>1249</v>
      </c>
      <c r="M326" s="12"/>
      <c r="N326" s="12"/>
      <c r="O326" s="12"/>
      <c r="P326" s="12"/>
      <c r="Q326" s="12"/>
      <c r="R326" s="12"/>
      <c r="S326" s="12"/>
      <c r="T326" s="12"/>
      <c r="U326" s="12"/>
    </row>
    <row r="327">
      <c r="A327" s="16" t="s">
        <v>1250</v>
      </c>
      <c r="B327" s="22" t="s">
        <v>1251</v>
      </c>
      <c r="C327" s="28" t="n">
        <v>52000</v>
      </c>
      <c r="D327" s="28" t="n">
        <v>50000</v>
      </c>
      <c r="E327" s="28" t="n">
        <v>224000</v>
      </c>
      <c r="F327" s="28" t="n">
        <v>545000</v>
      </c>
      <c r="G327" s="28" t="n">
        <v>256000</v>
      </c>
      <c r="H327" s="28" t="n">
        <v>284235</v>
      </c>
      <c r="I327" s="24" t="n">
        <v>156504</v>
      </c>
      <c r="J327" s="28" t="n">
        <v>289262</v>
      </c>
      <c r="K327" s="28" t="n">
        <v>164912</v>
      </c>
      <c r="L327" s="28" t="n">
        <v>44658</v>
      </c>
      <c r="M327" s="12"/>
      <c r="N327" s="12"/>
      <c r="O327" s="12"/>
      <c r="P327" s="12"/>
      <c r="Q327" s="12"/>
      <c r="R327" s="12"/>
      <c r="S327" s="12"/>
      <c r="T327" s="12"/>
      <c r="U327" s="12"/>
    </row>
    <row r="328">
      <c r="A328" s="16"/>
      <c r="B328" s="22" t="s">
        <v>1252</v>
      </c>
      <c r="C328" s="28"/>
      <c r="D328" s="28" t="n">
        <v>1346</v>
      </c>
      <c r="E328" s="28" t="n">
        <v>6380</v>
      </c>
      <c r="F328" s="28" t="n">
        <v>8900</v>
      </c>
      <c r="G328" s="28" t="n">
        <v>6270</v>
      </c>
      <c r="H328" s="28" t="n">
        <v>8000</v>
      </c>
      <c r="I328" s="24" t="n">
        <v>1469</v>
      </c>
      <c r="J328" s="28" t="n">
        <v>4827</v>
      </c>
      <c r="K328" s="28" t="n">
        <v>1596</v>
      </c>
      <c r="L328" s="28" t="n">
        <v>109</v>
      </c>
      <c r="M328" s="12"/>
      <c r="N328" s="12"/>
      <c r="O328" s="12"/>
      <c r="P328" s="12"/>
      <c r="Q328" s="12"/>
      <c r="R328" s="12"/>
      <c r="S328" s="12"/>
      <c r="T328" s="12"/>
      <c r="U328" s="12"/>
    </row>
    <row r="329">
      <c r="A329" s="16"/>
      <c r="B329" s="22" t="s">
        <v>1253</v>
      </c>
      <c r="C329" s="28" t="n">
        <v>1621000</v>
      </c>
      <c r="D329" s="28" t="n">
        <v>25941</v>
      </c>
      <c r="E329" s="28" t="n">
        <v>48515</v>
      </c>
      <c r="F329" s="28" t="n">
        <v>232000</v>
      </c>
      <c r="G329" s="28" t="n">
        <v>123000</v>
      </c>
      <c r="H329" s="28" t="n">
        <v>129163</v>
      </c>
      <c r="I329" s="24" t="n">
        <v>948617</v>
      </c>
      <c r="J329" s="28" t="n">
        <v>120045</v>
      </c>
      <c r="K329" s="37" t="n">
        <v>363106</v>
      </c>
      <c r="L329" s="28" t="n">
        <v>84845</v>
      </c>
      <c r="M329" s="12"/>
      <c r="N329" s="12"/>
      <c r="O329" s="12"/>
      <c r="P329" s="12"/>
      <c r="Q329" s="12"/>
      <c r="R329" s="12"/>
      <c r="S329" s="12"/>
      <c r="T329" s="12"/>
      <c r="U329" s="12"/>
    </row>
    <row r="330">
      <c r="A330" s="34"/>
      <c r="B330" s="34"/>
      <c r="C330" s="34" t="s">
        <v>1254</v>
      </c>
      <c r="D330" s="34" t="s">
        <v>1255</v>
      </c>
      <c r="E330" s="34" t="s">
        <v>1256</v>
      </c>
      <c r="F330" s="34" t="s">
        <v>1257</v>
      </c>
      <c r="G330" s="34" t="s">
        <v>1258</v>
      </c>
      <c r="H330" s="34" t="s">
        <v>1259</v>
      </c>
      <c r="I330" s="34" t="s">
        <v>1260</v>
      </c>
      <c r="J330" s="34" t="s">
        <v>1261</v>
      </c>
      <c r="K330" s="34" t="s">
        <v>1262</v>
      </c>
      <c r="L330" s="34" t="s">
        <v>1263</v>
      </c>
      <c r="M330" s="12"/>
      <c r="N330" s="12"/>
      <c r="O330" s="12"/>
      <c r="P330" s="12"/>
      <c r="Q330" s="12"/>
      <c r="R330" s="12"/>
      <c r="S330" s="12"/>
      <c r="T330" s="12"/>
      <c r="U330" s="12"/>
    </row>
    <row r="331">
      <c r="A331" s="16" t="s">
        <v>1264</v>
      </c>
      <c r="B331" s="22" t="s">
        <v>1265</v>
      </c>
      <c r="C331" s="28" t="n">
        <v>12000</v>
      </c>
      <c r="D331" s="28" t="n">
        <v>59000</v>
      </c>
      <c r="E331" s="28" t="n">
        <v>102000</v>
      </c>
      <c r="F331" s="28" t="n">
        <v>462000</v>
      </c>
      <c r="G331" s="28" t="n">
        <v>291000</v>
      </c>
      <c r="H331" s="28" t="n">
        <v>218484</v>
      </c>
      <c r="I331" s="24" t="n">
        <v>175743</v>
      </c>
      <c r="J331" s="28" t="n">
        <v>403339</v>
      </c>
      <c r="K331" s="28" t="n">
        <v>178765</v>
      </c>
      <c r="L331" s="28" t="n">
        <v>8868</v>
      </c>
      <c r="M331" s="12"/>
      <c r="N331" s="12"/>
      <c r="O331" s="12"/>
      <c r="P331" s="12"/>
      <c r="Q331" s="12"/>
      <c r="R331" s="12"/>
      <c r="S331" s="12"/>
      <c r="T331" s="12"/>
      <c r="U331" s="12"/>
    </row>
    <row r="332">
      <c r="A332" s="16"/>
      <c r="B332" s="22" t="s">
        <v>1266</v>
      </c>
      <c r="C332" s="28"/>
      <c r="D332" s="28" t="n">
        <v>1400</v>
      </c>
      <c r="E332" s="28" t="n">
        <v>2000</v>
      </c>
      <c r="F332" s="28" t="n">
        <v>9300</v>
      </c>
      <c r="G332" s="28" t="n">
        <v>9800</v>
      </c>
      <c r="H332" s="28" t="n">
        <v>6300</v>
      </c>
      <c r="I332" s="24" t="n">
        <v>1550</v>
      </c>
      <c r="J332" s="28" t="n">
        <v>9774</v>
      </c>
      <c r="K332" s="28" t="n">
        <v>2230</v>
      </c>
      <c r="L332" s="28" t="n">
        <v>88</v>
      </c>
      <c r="M332" s="12"/>
      <c r="N332" s="12"/>
      <c r="O332" s="12"/>
      <c r="P332" s="12"/>
      <c r="Q332" s="12"/>
      <c r="R332" s="12"/>
      <c r="S332" s="12"/>
      <c r="T332" s="12"/>
      <c r="U332" s="12"/>
    </row>
    <row r="333">
      <c r="A333" s="16"/>
      <c r="B333" s="22" t="s">
        <v>1267</v>
      </c>
      <c r="C333" s="28" t="n">
        <v>1621000</v>
      </c>
      <c r="D333" s="28" t="n">
        <v>25804</v>
      </c>
      <c r="E333" s="28" t="n">
        <v>47457</v>
      </c>
      <c r="F333" s="28" t="n">
        <v>229000</v>
      </c>
      <c r="G333" s="28" t="n">
        <v>122000</v>
      </c>
      <c r="H333" s="28" t="n">
        <v>126933</v>
      </c>
      <c r="I333" s="24" t="n">
        <v>947020</v>
      </c>
      <c r="J333" s="28" t="n">
        <v>118686</v>
      </c>
      <c r="K333" s="37" t="n">
        <v>362905</v>
      </c>
      <c r="L333" s="28" t="n">
        <v>84800</v>
      </c>
      <c r="M333" s="12"/>
      <c r="N333" s="12"/>
      <c r="O333" s="12"/>
      <c r="P333" s="12"/>
      <c r="Q333" s="12"/>
      <c r="R333" s="12"/>
      <c r="S333" s="12"/>
      <c r="T333" s="12"/>
      <c r="U333" s="12"/>
    </row>
    <row r="334">
      <c r="A334" s="34"/>
      <c r="B334" s="34"/>
      <c r="C334" s="34" t="s">
        <v>1268</v>
      </c>
      <c r="D334" s="34" t="s">
        <v>1269</v>
      </c>
      <c r="E334" s="34" t="s">
        <v>1270</v>
      </c>
      <c r="F334" s="34" t="s">
        <v>1271</v>
      </c>
      <c r="G334" s="34" t="s">
        <v>1272</v>
      </c>
      <c r="H334" s="34" t="s">
        <v>1273</v>
      </c>
      <c r="I334" s="34" t="s">
        <v>1274</v>
      </c>
      <c r="J334" s="34" t="s">
        <v>1275</v>
      </c>
      <c r="K334" s="34" t="s">
        <v>1276</v>
      </c>
      <c r="L334" s="34" t="s">
        <v>1277</v>
      </c>
      <c r="M334" s="12"/>
      <c r="N334" s="12"/>
      <c r="O334" s="12"/>
      <c r="P334" s="12"/>
      <c r="Q334" s="12"/>
      <c r="R334" s="12"/>
      <c r="S334" s="12"/>
      <c r="T334" s="12"/>
      <c r="U334" s="12"/>
    </row>
    <row r="335">
      <c r="A335" s="16" t="s">
        <v>1278</v>
      </c>
      <c r="B335" s="22" t="s">
        <v>1279</v>
      </c>
      <c r="C335" s="28" t="n">
        <v>26593</v>
      </c>
      <c r="D335" s="28" t="n">
        <v>57000</v>
      </c>
      <c r="E335" s="28" t="n">
        <v>189000</v>
      </c>
      <c r="F335" s="28" t="n">
        <v>374000</v>
      </c>
      <c r="G335" s="28" t="n">
        <v>179000</v>
      </c>
      <c r="H335" s="28" t="n">
        <v>207507</v>
      </c>
      <c r="I335" s="24" t="n">
        <v>99238</v>
      </c>
      <c r="J335" s="28" t="n">
        <v>29283</v>
      </c>
      <c r="K335" s="28" t="n">
        <v>631258</v>
      </c>
      <c r="L335" s="28" t="n">
        <v>12301</v>
      </c>
      <c r="M335" s="12"/>
      <c r="N335" s="12"/>
      <c r="O335" s="12"/>
      <c r="P335" s="12"/>
      <c r="Q335" s="12"/>
      <c r="R335" s="12"/>
      <c r="S335" s="12"/>
      <c r="T335" s="12"/>
      <c r="U335" s="12"/>
    </row>
    <row r="336">
      <c r="A336" s="16"/>
      <c r="B336" s="22" t="s">
        <v>1280</v>
      </c>
      <c r="C336" s="28"/>
      <c r="D336" s="28" t="n">
        <v>568</v>
      </c>
      <c r="E336" s="28" t="n">
        <v>5300</v>
      </c>
      <c r="F336" s="28" t="n">
        <v>5300</v>
      </c>
      <c r="G336" s="28" t="n">
        <v>3800</v>
      </c>
      <c r="H336" s="28" t="n">
        <v>5300</v>
      </c>
      <c r="I336" s="28" t="n">
        <v>1187</v>
      </c>
      <c r="J336" s="28" t="n">
        <v>424</v>
      </c>
      <c r="K336" s="28" t="n">
        <v>1275</v>
      </c>
      <c r="L336" s="28" t="n">
        <v>45</v>
      </c>
      <c r="M336" s="12"/>
      <c r="N336" s="12"/>
      <c r="O336" s="12"/>
      <c r="P336" s="12"/>
      <c r="Q336" s="12"/>
      <c r="R336" s="12"/>
      <c r="S336" s="12"/>
      <c r="T336" s="12"/>
      <c r="U336" s="12"/>
    </row>
    <row r="337">
      <c r="A337" s="16"/>
      <c r="B337" s="22" t="s">
        <v>1281</v>
      </c>
      <c r="C337" s="28" t="n">
        <v>1621000</v>
      </c>
      <c r="D337" s="28" t="n">
        <v>25548</v>
      </c>
      <c r="E337" s="28" t="n">
        <v>47003</v>
      </c>
      <c r="F337" s="28" t="n">
        <v>225000</v>
      </c>
      <c r="G337" s="28" t="n">
        <v>118000</v>
      </c>
      <c r="H337" s="28" t="n">
        <v>125312</v>
      </c>
      <c r="I337" s="24" t="n">
        <v>945616</v>
      </c>
      <c r="J337" s="28" t="n">
        <v>116246</v>
      </c>
      <c r="K337" s="37" t="n">
        <v>362582</v>
      </c>
      <c r="L337" s="28" t="n">
        <v>84712</v>
      </c>
      <c r="M337" s="12"/>
      <c r="N337" s="12"/>
      <c r="O337" s="12"/>
      <c r="P337" s="12"/>
      <c r="Q337" s="12"/>
      <c r="R337" s="12"/>
      <c r="S337" s="12"/>
      <c r="T337" s="12"/>
      <c r="U337" s="12"/>
    </row>
    <row r="338">
      <c r="A338" s="34"/>
      <c r="B338" s="34"/>
      <c r="C338" s="34" t="s">
        <v>1282</v>
      </c>
      <c r="D338" s="34" t="s">
        <v>1283</v>
      </c>
      <c r="E338" s="34" t="s">
        <v>1284</v>
      </c>
      <c r="F338" s="34" t="s">
        <v>1285</v>
      </c>
      <c r="G338" s="34" t="s">
        <v>1286</v>
      </c>
      <c r="H338" s="34" t="s">
        <v>1287</v>
      </c>
      <c r="I338" s="34" t="s">
        <v>1288</v>
      </c>
      <c r="J338" s="34" t="s">
        <v>1289</v>
      </c>
      <c r="K338" s="34" t="s">
        <v>1290</v>
      </c>
      <c r="L338" s="34" t="s">
        <v>1291</v>
      </c>
      <c r="M338" s="12"/>
      <c r="N338" s="12"/>
      <c r="O338" s="12"/>
      <c r="P338" s="12"/>
      <c r="Q338" s="12"/>
      <c r="R338" s="12"/>
      <c r="S338" s="12"/>
      <c r="T338" s="12"/>
      <c r="U338" s="12"/>
    </row>
    <row r="339">
      <c r="A339" s="16" t="s">
        <v>1292</v>
      </c>
      <c r="B339" s="22" t="s">
        <v>1293</v>
      </c>
      <c r="C339" s="28" t="n">
        <v>26030</v>
      </c>
      <c r="D339" s="28" t="n">
        <v>164000</v>
      </c>
      <c r="E339" s="28" t="n">
        <v>225000</v>
      </c>
      <c r="F339" s="28" t="n">
        <v>243000</v>
      </c>
      <c r="G339" s="28" t="n">
        <v>271000</v>
      </c>
      <c r="H339" s="28" t="n">
        <v>163232</v>
      </c>
      <c r="I339" s="24" t="n">
        <v>237621</v>
      </c>
      <c r="J339" s="28" t="n">
        <v>172681</v>
      </c>
      <c r="K339" s="28" t="n">
        <v>1827846</v>
      </c>
      <c r="L339" s="28" t="n">
        <v>15840</v>
      </c>
      <c r="M339" s="12"/>
      <c r="N339" s="12"/>
      <c r="O339" s="12"/>
      <c r="P339" s="12"/>
      <c r="Q339" s="12"/>
      <c r="R339" s="12"/>
      <c r="S339" s="12"/>
      <c r="T339" s="12"/>
      <c r="U339" s="12"/>
    </row>
    <row r="340">
      <c r="A340" s="16"/>
      <c r="B340" s="22" t="s">
        <v>1294</v>
      </c>
      <c r="C340" s="28"/>
      <c r="D340" s="28" t="n">
        <v>3500</v>
      </c>
      <c r="E340" s="28" t="n">
        <v>5400</v>
      </c>
      <c r="F340" s="28" t="n">
        <v>2700</v>
      </c>
      <c r="G340" s="28" t="n">
        <v>4900</v>
      </c>
      <c r="H340" s="28" t="n">
        <v>3200</v>
      </c>
      <c r="I340" s="28" t="n">
        <v>3242</v>
      </c>
      <c r="J340" s="28" t="n">
        <v>1629</v>
      </c>
      <c r="K340" s="28" t="n">
        <v>6217</v>
      </c>
      <c r="L340" s="28" t="n">
        <v>90</v>
      </c>
      <c r="M340" s="12"/>
      <c r="N340" s="12"/>
      <c r="O340" s="12"/>
      <c r="P340" s="12"/>
      <c r="Q340" s="12"/>
      <c r="R340" s="12"/>
      <c r="S340" s="12"/>
      <c r="T340" s="12"/>
      <c r="U340" s="12"/>
    </row>
    <row r="341">
      <c r="A341" s="16"/>
      <c r="B341" s="22" t="s">
        <v>1295</v>
      </c>
      <c r="C341" s="28" t="n">
        <v>1621000</v>
      </c>
      <c r="D341" s="28" t="n">
        <v>25338</v>
      </c>
      <c r="E341" s="28" t="n">
        <v>46359</v>
      </c>
      <c r="F341" s="28" t="n">
        <v>223000</v>
      </c>
      <c r="G341" s="28" t="n">
        <v>116000</v>
      </c>
      <c r="H341" s="28" t="n">
        <v>122910</v>
      </c>
      <c r="I341" s="24" t="n">
        <v>945007</v>
      </c>
      <c r="J341" s="28" t="n">
        <v>116132</v>
      </c>
      <c r="K341" s="37" t="n">
        <v>362419</v>
      </c>
      <c r="L341" s="28" t="n">
        <v>84704</v>
      </c>
      <c r="M341" s="12"/>
      <c r="N341" s="12"/>
      <c r="O341" s="12"/>
      <c r="P341" s="12"/>
      <c r="Q341" s="12"/>
      <c r="R341" s="12"/>
      <c r="S341" s="12"/>
      <c r="T341" s="12"/>
      <c r="U341" s="12"/>
    </row>
    <row r="342">
      <c r="A342" s="34"/>
      <c r="B342" s="34"/>
      <c r="C342" s="34" t="s">
        <v>1296</v>
      </c>
      <c r="D342" s="34" t="s">
        <v>1297</v>
      </c>
      <c r="E342" s="34" t="s">
        <v>1298</v>
      </c>
      <c r="F342" s="34" t="s">
        <v>1299</v>
      </c>
      <c r="G342" s="34" t="s">
        <v>1300</v>
      </c>
      <c r="H342" s="34" t="s">
        <v>1301</v>
      </c>
      <c r="I342" s="34" t="s">
        <v>1302</v>
      </c>
      <c r="J342" s="34" t="s">
        <v>1303</v>
      </c>
      <c r="K342" s="34" t="s">
        <v>1304</v>
      </c>
      <c r="L342" s="34" t="s">
        <v>1305</v>
      </c>
      <c r="M342" s="12"/>
      <c r="N342" s="12"/>
      <c r="O342" s="12"/>
      <c r="P342" s="12"/>
      <c r="Q342" s="12"/>
      <c r="R342" s="12"/>
      <c r="S342" s="12"/>
      <c r="T342" s="12"/>
      <c r="U342" s="12"/>
    </row>
    <row r="343">
      <c r="A343" s="16" t="s">
        <v>1306</v>
      </c>
      <c r="B343" s="22" t="s">
        <v>1307</v>
      </c>
      <c r="C343" s="28" t="n">
        <v>21639</v>
      </c>
      <c r="D343" s="28" t="n">
        <v>50000</v>
      </c>
      <c r="E343" s="28" t="n">
        <v>262000</v>
      </c>
      <c r="F343" s="28" t="n">
        <v>339000</v>
      </c>
      <c r="G343" s="28" t="n">
        <v>133000</v>
      </c>
      <c r="H343" s="28" t="n">
        <v>133272</v>
      </c>
      <c r="I343" s="24" t="n">
        <v>182375</v>
      </c>
      <c r="J343" s="28" t="n">
        <v>38998</v>
      </c>
      <c r="K343" s="28" t="n">
        <v>81637</v>
      </c>
      <c r="L343" s="28" t="n">
        <v>31551</v>
      </c>
      <c r="M343" s="12"/>
      <c r="N343" s="12"/>
      <c r="O343" s="12"/>
      <c r="P343" s="12"/>
      <c r="Q343" s="12"/>
      <c r="R343" s="12"/>
      <c r="S343" s="12"/>
      <c r="T343" s="12"/>
      <c r="U343" s="12"/>
    </row>
    <row r="344">
      <c r="A344" s="16"/>
      <c r="B344" s="22" t="s">
        <v>1308</v>
      </c>
      <c r="C344" s="28"/>
      <c r="D344" s="28" t="n">
        <v>1200</v>
      </c>
      <c r="E344" s="28" t="n">
        <v>11200</v>
      </c>
      <c r="F344" s="28" t="n">
        <v>3650</v>
      </c>
      <c r="G344" s="28" t="n">
        <v>2700</v>
      </c>
      <c r="H344" s="28" t="n">
        <v>2700</v>
      </c>
      <c r="I344" s="28" t="n">
        <v>2068</v>
      </c>
      <c r="J344" s="28" t="n">
        <v>459</v>
      </c>
      <c r="K344" s="28" t="n">
        <v>628</v>
      </c>
      <c r="L344" s="28" t="n">
        <v>78</v>
      </c>
      <c r="M344" s="12"/>
      <c r="N344" s="12"/>
      <c r="O344" s="12"/>
      <c r="P344" s="12"/>
      <c r="Q344" s="12"/>
      <c r="R344" s="12"/>
      <c r="S344" s="12"/>
      <c r="T344" s="12"/>
      <c r="U344" s="12"/>
    </row>
    <row r="345">
      <c r="A345" s="16"/>
      <c r="B345" s="22" t="s">
        <v>1309</v>
      </c>
      <c r="C345" s="28" t="n">
        <v>1621000</v>
      </c>
      <c r="D345" s="28" t="n">
        <v>24978</v>
      </c>
      <c r="E345" s="28" t="n">
        <v>45921</v>
      </c>
      <c r="F345" s="28" t="n">
        <v>222000</v>
      </c>
      <c r="G345" s="28" t="n">
        <v>115000</v>
      </c>
      <c r="H345" s="28" t="n">
        <v>122128</v>
      </c>
      <c r="I345" s="24" t="n">
        <v>943866</v>
      </c>
      <c r="J345" s="28" t="n">
        <v>115851</v>
      </c>
      <c r="K345" s="37" t="n">
        <v>361874</v>
      </c>
      <c r="L345" s="28" t="n">
        <v>84669</v>
      </c>
      <c r="M345" s="12"/>
      <c r="N345" s="12"/>
      <c r="O345" s="12"/>
      <c r="P345" s="12"/>
      <c r="Q345" s="12"/>
      <c r="R345" s="12"/>
      <c r="S345" s="12"/>
      <c r="T345" s="12"/>
      <c r="U345" s="12"/>
    </row>
    <row r="346">
      <c r="A346" s="17"/>
      <c r="B346" s="17"/>
      <c r="C346" s="17" t="s">
        <v>1310</v>
      </c>
      <c r="D346" s="17" t="s">
        <v>1311</v>
      </c>
      <c r="E346" s="17" t="s">
        <v>1312</v>
      </c>
      <c r="F346" s="17" t="s">
        <v>1313</v>
      </c>
      <c r="G346" s="17" t="s">
        <v>1314</v>
      </c>
      <c r="H346" s="17" t="s">
        <v>1315</v>
      </c>
      <c r="I346" s="17" t="s">
        <v>1316</v>
      </c>
      <c r="J346" s="17" t="s">
        <v>1317</v>
      </c>
      <c r="K346" s="17" t="s">
        <v>1318</v>
      </c>
      <c r="L346" s="17" t="s">
        <v>1319</v>
      </c>
      <c r="M346" s="12"/>
      <c r="N346" s="12"/>
      <c r="O346" s="12"/>
      <c r="P346" s="12"/>
      <c r="Q346" s="12"/>
      <c r="R346" s="12"/>
      <c r="S346" s="12"/>
      <c r="T346" s="12"/>
      <c r="U346" s="12"/>
    </row>
    <row r="347">
      <c r="A347" s="17" t="s">
        <v>1320</v>
      </c>
      <c r="B347" s="19" t="s">
        <v>1321</v>
      </c>
      <c r="C347" s="9" t="n">
        <f>C350+C360</f>
        <v>1896435</v>
      </c>
      <c r="D347" s="9" t="n">
        <f>D350+D360</f>
        <v>4146416</v>
      </c>
      <c r="E347" s="9" t="n">
        <f>E350+E360</f>
        <v>9338000</v>
      </c>
      <c r="F347" s="9" t="n">
        <f>F350+F360</f>
        <v>62133000</v>
      </c>
      <c r="G347" s="9" t="n">
        <f>G350+G360</f>
        <v>20361000</v>
      </c>
      <c r="H347" s="9" t="n">
        <f>H350+H360</f>
        <v>11936781</v>
      </c>
      <c r="I347" s="9" t="n">
        <f>I350+I360</f>
        <v>8114847</v>
      </c>
      <c r="J347" s="9" t="n">
        <f>J350+J360</f>
        <v>9551047</v>
      </c>
      <c r="K347" s="9" t="n">
        <f>K350+K360</f>
        <v>10371772</v>
      </c>
      <c r="L347" s="9" t="n">
        <f>L350+L360</f>
        <v>1160349</v>
      </c>
      <c r="M347" s="12"/>
      <c r="N347" s="12"/>
      <c r="O347" s="12"/>
      <c r="P347" s="12"/>
      <c r="Q347" s="12"/>
      <c r="R347" s="12"/>
      <c r="S347" s="12"/>
      <c r="T347" s="12"/>
      <c r="U347" s="12"/>
    </row>
    <row r="348">
      <c r="A348" s="17"/>
      <c r="B348" s="19" t="s">
        <v>1322</v>
      </c>
      <c r="C348" s="8" t="n">
        <f>C352-C574</f>
        <v>-5443</v>
      </c>
      <c r="D348" s="8" t="n">
        <f>D352-D574</f>
        <v>17451</v>
      </c>
      <c r="E348" s="8" t="n">
        <f>E352-E574</f>
        <v>20862</v>
      </c>
      <c r="F348" s="8" t="n">
        <f>F352-F574</f>
        <v>154000</v>
      </c>
      <c r="G348" s="8" t="n">
        <f>G352-G574</f>
        <v>64000</v>
      </c>
      <c r="H348" s="8" t="n">
        <f>H352-H574</f>
        <v>121285</v>
      </c>
      <c r="I348" s="9" t="n">
        <f>I352-I574</f>
        <v>60799</v>
      </c>
      <c r="J348" s="8" t="s">
        <f>J352-J574</f>
        <v>1323</v>
      </c>
      <c r="K348" s="8" t="n">
        <f>K352-K574</f>
        <v>19286</v>
      </c>
      <c r="L348" s="8" t="n">
        <f>L352-L574</f>
        <v>2104</v>
      </c>
      <c r="M348" s="12"/>
      <c r="N348" s="12"/>
      <c r="O348" s="12"/>
      <c r="P348" s="12"/>
      <c r="Q348" s="12"/>
      <c r="R348" s="12"/>
      <c r="S348" s="12"/>
      <c r="T348" s="12"/>
      <c r="U348" s="12"/>
    </row>
    <row r="349">
      <c r="A349" s="17"/>
      <c r="B349" s="19" t="s">
        <v>1324</v>
      </c>
      <c r="C349" s="8" t="n">
        <v>1621000</v>
      </c>
      <c r="D349" s="8" t="n">
        <v>24911</v>
      </c>
      <c r="E349" s="8" t="n">
        <v>44940</v>
      </c>
      <c r="F349" s="8" t="n">
        <v>222000</v>
      </c>
      <c r="G349" s="8" t="n">
        <v>115000</v>
      </c>
      <c r="H349" s="8" t="n">
        <v>121285</v>
      </c>
      <c r="I349" s="8" t="n">
        <v>943210</v>
      </c>
      <c r="J349" s="8" t="n">
        <v>115725</v>
      </c>
      <c r="K349" s="8" t="n">
        <v>361685</v>
      </c>
      <c r="L349" s="8" t="n">
        <v>84637</v>
      </c>
      <c r="M349" s="12"/>
      <c r="N349" s="12"/>
      <c r="O349" s="12"/>
      <c r="P349" s="12"/>
      <c r="Q349" s="12"/>
      <c r="R349" s="12"/>
      <c r="S349" s="12"/>
      <c r="T349" s="12"/>
      <c r="U349" s="12"/>
    </row>
    <row r="350">
      <c r="A350" s="17" t="s">
        <v>1325</v>
      </c>
      <c r="B350" s="19" t="s">
        <v>1326</v>
      </c>
      <c r="C350" s="8" t="n">
        <v>7200</v>
      </c>
      <c r="D350" s="8" t="n">
        <v>104000</v>
      </c>
      <c r="E350" s="8" t="n">
        <v>308000</v>
      </c>
      <c r="F350" s="8" t="n">
        <v>757000</v>
      </c>
      <c r="G350" s="8" t="n">
        <v>220000</v>
      </c>
      <c r="H350" s="8" t="n">
        <v>158096</v>
      </c>
      <c r="I350" s="9" t="n">
        <v>170095</v>
      </c>
      <c r="J350" s="8" t="n">
        <v>67202</v>
      </c>
      <c r="K350" s="8" t="n">
        <v>141576</v>
      </c>
      <c r="L350" s="8" t="n">
        <v>26130</v>
      </c>
      <c r="M350" s="12"/>
      <c r="N350" s="12"/>
      <c r="O350" s="12"/>
      <c r="P350" s="12"/>
      <c r="Q350" s="12"/>
      <c r="R350" s="12"/>
      <c r="S350" s="12"/>
      <c r="T350" s="12"/>
      <c r="U350" s="12"/>
    </row>
    <row r="351">
      <c r="A351" s="17"/>
      <c r="B351" s="19" t="s">
        <v>1327</v>
      </c>
      <c r="C351" s="8"/>
      <c r="D351" s="8" t="n">
        <v>2565</v>
      </c>
      <c r="E351" s="8" t="n">
        <v>15900</v>
      </c>
      <c r="F351" s="8" t="n">
        <v>8141</v>
      </c>
      <c r="G351" s="8" t="n">
        <v>4730</v>
      </c>
      <c r="H351" s="8" t="n">
        <v>3900</v>
      </c>
      <c r="I351" s="8" t="n">
        <v>1858</v>
      </c>
      <c r="J351" s="8" t="n">
        <v>509</v>
      </c>
      <c r="K351" s="8" t="n">
        <v>1386</v>
      </c>
      <c r="L351" s="8" t="n">
        <v>67</v>
      </c>
      <c r="M351" s="12"/>
      <c r="N351" s="12"/>
      <c r="O351" s="12"/>
      <c r="P351" s="12"/>
      <c r="Q351" s="12"/>
      <c r="R351" s="12"/>
      <c r="S351" s="12"/>
      <c r="T351" s="12"/>
      <c r="U351" s="12"/>
    </row>
    <row r="352">
      <c r="A352" s="17"/>
      <c r="B352" s="19" t="s">
        <v>1328</v>
      </c>
      <c r="C352" s="8" t="n">
        <v>1621000</v>
      </c>
      <c r="D352" s="8" t="n">
        <v>24911</v>
      </c>
      <c r="E352" s="8" t="n">
        <v>44940</v>
      </c>
      <c r="F352" s="8" t="n">
        <v>222000</v>
      </c>
      <c r="G352" s="8" t="n">
        <v>115000</v>
      </c>
      <c r="H352" s="8" t="n">
        <v>121285</v>
      </c>
      <c r="I352" s="8" t="n">
        <v>943210</v>
      </c>
      <c r="J352" s="8" t="n">
        <v>115725</v>
      </c>
      <c r="K352" s="8" t="n">
        <v>361685</v>
      </c>
      <c r="L352" s="8" t="n">
        <v>84637</v>
      </c>
      <c r="M352" s="12"/>
      <c r="N352" s="12"/>
      <c r="O352" s="12"/>
      <c r="P352" s="12"/>
      <c r="Q352" s="12"/>
      <c r="R352" s="12"/>
      <c r="S352" s="12"/>
      <c r="T352" s="12"/>
      <c r="U352" s="12"/>
    </row>
    <row r="353">
      <c r="A353" s="17" t="s">
        <v>1329</v>
      </c>
      <c r="B353" s="19" t="s">
        <v>1330</v>
      </c>
      <c r="C353" s="38" t="n">
        <v>16001</v>
      </c>
      <c r="D353" s="38" t="n">
        <v>41000</v>
      </c>
      <c r="E353" s="38" t="n">
        <v>205000</v>
      </c>
      <c r="F353" s="38" t="n">
        <v>412000</v>
      </c>
      <c r="G353" s="38" t="n">
        <v>138000</v>
      </c>
      <c r="H353" s="38" t="n">
        <v>348289</v>
      </c>
      <c r="I353" s="39" t="n">
        <v>246863</v>
      </c>
      <c r="J353" s="38" t="n">
        <v>86868</v>
      </c>
      <c r="K353" s="38" t="n">
        <v>335449</v>
      </c>
      <c r="L353" s="38" t="n">
        <v>26132</v>
      </c>
      <c r="M353" s="12"/>
      <c r="N353" s="12"/>
      <c r="O353" s="12"/>
      <c r="P353" s="12"/>
      <c r="Q353" s="12"/>
      <c r="R353" s="12"/>
      <c r="S353" s="12"/>
      <c r="T353" s="12"/>
      <c r="U353" s="12"/>
    </row>
    <row r="354">
      <c r="A354" s="17"/>
      <c r="B354" s="19" t="s">
        <v>1331</v>
      </c>
      <c r="C354" s="38"/>
      <c r="D354" s="38" t="n">
        <v>1007</v>
      </c>
      <c r="E354" s="38" t="n">
        <v>7000</v>
      </c>
      <c r="F354" s="38" t="n">
        <v>4309</v>
      </c>
      <c r="G354" s="38" t="n">
        <v>2750</v>
      </c>
      <c r="H354" s="38" t="n">
        <v>3021</v>
      </c>
      <c r="I354" s="38" t="n">
        <v>2780</v>
      </c>
      <c r="J354" s="38" t="n">
        <v>737</v>
      </c>
      <c r="K354" s="38" t="n">
        <v>3335</v>
      </c>
      <c r="L354" s="38" t="n">
        <v>82</v>
      </c>
      <c r="M354" s="12"/>
      <c r="N354" s="12"/>
      <c r="O354" s="12"/>
      <c r="P354" s="12"/>
      <c r="Q354" s="12"/>
      <c r="R354" s="12"/>
      <c r="S354" s="12"/>
      <c r="T354" s="12"/>
      <c r="U354" s="12"/>
    </row>
    <row r="355">
      <c r="A355" s="17"/>
      <c r="B355" s="19" t="s">
        <v>1332</v>
      </c>
      <c r="C355" s="38" t="s">
        <v>1333</v>
      </c>
      <c r="D355" s="38" t="n">
        <v>24751</v>
      </c>
      <c r="E355" s="38" t="n">
        <v>43771</v>
      </c>
      <c r="F355" s="38" t="n">
        <v>221000</v>
      </c>
      <c r="G355" s="38" t="n">
        <v>114000</v>
      </c>
      <c r="H355" s="38" t="n">
        <v>120148</v>
      </c>
      <c r="I355" s="39" t="n">
        <v>942672</v>
      </c>
      <c r="J355" s="38" t="n">
        <v>115636</v>
      </c>
      <c r="K355" s="38" t="n">
        <v>361492</v>
      </c>
      <c r="L355" s="38" t="n">
        <v>84599</v>
      </c>
      <c r="M355" s="12"/>
      <c r="N355" s="12"/>
      <c r="O355" s="12"/>
      <c r="P355" s="12"/>
      <c r="Q355" s="12"/>
      <c r="R355" s="12"/>
      <c r="S355" s="12"/>
      <c r="T355" s="12"/>
      <c r="U355" s="12"/>
    </row>
    <row r="356">
      <c r="A356" s="17" t="s">
        <v>1334</v>
      </c>
      <c r="B356" s="19" t="s">
        <v>1335</v>
      </c>
      <c r="C356" s="38" t="n">
        <v>85000</v>
      </c>
      <c r="D356" s="38" t="n">
        <v>20000</v>
      </c>
      <c r="E356" s="38" t="n">
        <v>172000</v>
      </c>
      <c r="F356" s="38" t="n">
        <v>1182000</v>
      </c>
      <c r="G356" s="38" t="n">
        <v>172000</v>
      </c>
      <c r="H356" s="38" t="n">
        <v>124797</v>
      </c>
      <c r="I356" s="39" t="n">
        <v>71640</v>
      </c>
      <c r="J356" s="38" t="n">
        <v>630925</v>
      </c>
      <c r="K356" s="38" t="n">
        <v>232981</v>
      </c>
      <c r="L356" s="38" t="n">
        <v>14826</v>
      </c>
      <c r="M356" s="12"/>
      <c r="N356" s="12"/>
      <c r="O356" s="12"/>
      <c r="P356" s="12"/>
      <c r="Q356" s="12"/>
      <c r="R356" s="12"/>
      <c r="S356" s="12"/>
      <c r="T356" s="12"/>
      <c r="U356" s="12"/>
    </row>
    <row r="357">
      <c r="A357" s="17"/>
      <c r="B357" s="19" t="s">
        <v>1336</v>
      </c>
      <c r="C357" s="38"/>
      <c r="D357" s="38" t="n">
        <v>483</v>
      </c>
      <c r="E357" s="38" t="n">
        <v>3600</v>
      </c>
      <c r="F357" s="38" t="n">
        <v>9300</v>
      </c>
      <c r="G357" s="38" t="n">
        <v>4100</v>
      </c>
      <c r="H357" s="38" t="n">
        <v>2500</v>
      </c>
      <c r="I357" s="38" t="n">
        <v>631</v>
      </c>
      <c r="J357" s="38" t="n">
        <v>3633</v>
      </c>
      <c r="K357" s="38" t="n">
        <v>5106</v>
      </c>
      <c r="L357" s="38" t="n">
        <v>33</v>
      </c>
      <c r="M357" s="12"/>
      <c r="N357" s="12"/>
      <c r="O357" s="12"/>
      <c r="P357" s="12"/>
      <c r="Q357" s="12"/>
      <c r="R357" s="12"/>
      <c r="S357" s="12"/>
      <c r="T357" s="12"/>
      <c r="U357" s="12"/>
    </row>
    <row r="358">
      <c r="A358" s="17"/>
      <c r="B358" s="19" t="s">
        <v>1337</v>
      </c>
      <c r="C358" s="38" t="s">
        <v>1338</v>
      </c>
      <c r="D358" s="38" t="n">
        <v>24703</v>
      </c>
      <c r="E358" s="38" t="n">
        <v>43394</v>
      </c>
      <c r="F358" s="38" t="n">
        <v>220000</v>
      </c>
      <c r="G358" s="38" t="n">
        <v>114000</v>
      </c>
      <c r="H358" s="38" t="n">
        <v>119670</v>
      </c>
      <c r="I358" s="39" t="n">
        <v>942134</v>
      </c>
      <c r="J358" s="38" t="n">
        <v>115572</v>
      </c>
      <c r="K358" s="38" t="n">
        <v>361254</v>
      </c>
      <c r="L358" s="38" t="n">
        <v>84588</v>
      </c>
      <c r="M358" s="12"/>
      <c r="N358" s="12"/>
      <c r="O358" s="12"/>
      <c r="P358" s="12"/>
      <c r="Q358" s="12"/>
      <c r="R358" s="12"/>
      <c r="S358" s="12"/>
      <c r="T358" s="12"/>
      <c r="U358" s="12"/>
    </row>
    <row r="359">
      <c r="A359" s="4"/>
      <c r="B359" s="4"/>
      <c r="C359" s="4" t="s">
        <v>1339</v>
      </c>
      <c r="D359" s="4" t="s">
        <v>1340</v>
      </c>
      <c r="E359" s="4" t="s">
        <v>1341</v>
      </c>
      <c r="F359" s="4" t="s">
        <v>1342</v>
      </c>
      <c r="G359" s="4" t="s">
        <v>1343</v>
      </c>
      <c r="H359" s="4" t="s">
        <v>1344</v>
      </c>
      <c r="I359" s="4" t="s">
        <v>1345</v>
      </c>
      <c r="J359" s="4" t="s">
        <v>1346</v>
      </c>
      <c r="K359" s="4" t="s">
        <v>1347</v>
      </c>
      <c r="L359" s="4" t="s">
        <v>1348</v>
      </c>
      <c r="M359" s="12"/>
      <c r="N359" s="12"/>
      <c r="O359" s="12"/>
      <c r="P359" s="12"/>
      <c r="Q359" s="12"/>
      <c r="R359" s="12"/>
      <c r="S359" s="12"/>
      <c r="T359" s="12"/>
      <c r="U359" s="12"/>
    </row>
    <row r="360">
      <c r="A360" s="17" t="s">
        <v>1349</v>
      </c>
      <c r="B360" s="11" t="s">
        <v>1350</v>
      </c>
      <c r="C360" s="9" t="n">
        <f>C362+C372+C382+C392+C410+C415+C419++C423+C427+C431+C435+C439+C443+C447+C451+C456+C461+C466+C471+C476+C481+C486+C490+C495+C500+C505+C509+C513+C517++++++++C521+C525+C529+C533+C537+C541+C545+C548+C551+C554+C557+C560+C563+C566</f>
        <v>1889235</v>
      </c>
      <c r="D360" s="9" t="n">
        <f>D362+D372+D382+D392+D410+D415+D419++D423+D427+D431+D435+D439+D443+D447+D451+D456+D461+D466+D471+D476+D481+D486+D490+D495+D500+D505+D509+D513+D517++++++++D521+D525+D529+D533+D537+D541+D545+D548+D551+D554+D557+D560+D563+D566</f>
        <v>4042416</v>
      </c>
      <c r="E360" s="9" t="n">
        <f>E362+E372+E382+E392+E410+E415+E419++E423+E427+E431+E435+E439+E443+E447+E451+E456+E461+E466+E471+E476+E481+E486+E490+E495+E500+E505+E509+E513+E517++++++++E521+E525+E529+E533+E537+E541+E545+E548+E551+E554+E557+E560+E563+E566</f>
        <v>9030000</v>
      </c>
      <c r="F360" s="9" t="n">
        <f>F362+F372+F382+F392+F410+F415+F419++F423+F427+F431+F435+F439+F443+F447+F451+F456+F461+F466+F471+F476+F481+F486+F490+F495+F500+F505+F509+F513+F517++++++++F521+F525+F529+F533+F537+F541+F545+F548+F551+F554+F557+F560+F563+F566</f>
        <v>61376000</v>
      </c>
      <c r="G360" s="9" t="n">
        <f>G362+G372+G382+G392+G410+G415+G419++G423+G427+G431+G435+G439+G443+G447+G451+G456+G461+G466+G471+G476+G481+G486+G490+G495+G500+G505+G509+G513+G517++++++++G521+G525+G529+G533+G537+G541+G545+G548+G551+G554+G557+G560+G563+G566</f>
        <v>20141000</v>
      </c>
      <c r="H360" s="9" t="n">
        <f>H362+H372+H382+H392+H410+H415+H419++H423+H427+H431+H435+H439+H443+H447+H451+H456+H461+H466+H471+H476+H481+H486+H490+H495+H500+H505+H509+H513+H517++++++++H521+H525+H529+H533+H537+H541+H545+H548+H551+H554+H557+H560+H563+H566</f>
        <v>11778685</v>
      </c>
      <c r="I360" s="9" t="n">
        <f>I362+I372+I382+I392+I410+I415+I419++I423+I427+I431+I435+I439+I443+I447+I451+I456+I461+I466+I471+I476+I481+I486+I490+I495+I500+I505+I509+I513+I517++++++++I521+I525+I529+I533+I537+I541+I545+I548+I551+I554+I557+I560+I563+I566</f>
        <v>7944752</v>
      </c>
      <c r="J360" s="9" t="n">
        <f>J362+J372+J382+J392+J410+J415+J419++J423+J427+J431+J435+J439+J443+J447+J451+J456+J461+J466+J471+J476+J481+J486+J490+J495+J500+J505+J509+J513+J517++++++++J521+J525+J529+J533+J537+J541+J545+J548+J551+J554+J557+J560+J563+J566</f>
        <v>9483845</v>
      </c>
      <c r="K360" s="9" t="n">
        <f>K362+K372+K382+K392+K410+K415+K419++K423+K427+K431+K435+K439+K443+K447+K451+K456+K461+K466+K471+K476+K481+K486+K490+K495+K500+K505+K509+K513+K517++++++++K521+K525+K529+K533+K537+K541+K545+K548+K551+K554+K557+K560+K563+K566</f>
        <v>10230196</v>
      </c>
      <c r="L360" s="9" t="n">
        <f>L362+L372+L382+L392+L410+L415+L419++L423+L427+L431+L435+L439+L443+L447+L451+L456+L461+L466+L471+L476+L481+L486+L490+L495+L500+L505+L509+L513+L517++++++++L521+L525+L529+L533+L537+L541+L545+L548+L551+L554+L557+L560+L563+L566</f>
        <v>1134219</v>
      </c>
      <c r="M360" s="12"/>
      <c r="N360" s="12"/>
      <c r="O360" s="12"/>
      <c r="P360" s="12"/>
      <c r="Q360" s="12"/>
      <c r="R360" s="12"/>
      <c r="S360" s="12"/>
      <c r="T360" s="12"/>
      <c r="U360" s="12"/>
    </row>
    <row r="361">
      <c r="A361" s="17"/>
      <c r="B361" s="11" t="s">
        <v>1351</v>
      </c>
      <c r="C361" s="8"/>
      <c r="D361" s="8" t="n">
        <f>D366-D574</f>
        <v>17207</v>
      </c>
      <c r="E361" s="8" t="n">
        <f>E366-E574</f>
        <v>18909</v>
      </c>
      <c r="F361" s="8" t="n">
        <f>F366-F574</f>
        <v>152000</v>
      </c>
      <c r="G361" s="8" t="n">
        <f>G366-G574</f>
        <v>63000</v>
      </c>
      <c r="H361" s="8" t="n">
        <f>H366-H574</f>
        <v>119035</v>
      </c>
      <c r="I361" s="8"/>
      <c r="J361" s="8"/>
      <c r="K361" s="8"/>
      <c r="L361" s="8"/>
      <c r="M361" s="12"/>
      <c r="N361" s="12"/>
      <c r="O361" s="12"/>
      <c r="P361" s="12"/>
      <c r="Q361" s="12"/>
      <c r="R361" s="12"/>
      <c r="S361" s="12"/>
      <c r="T361" s="12"/>
      <c r="U361" s="12"/>
    </row>
    <row r="362">
      <c r="A362" s="17" t="s">
        <v>1352</v>
      </c>
      <c r="B362" s="11" t="s">
        <v>1353</v>
      </c>
      <c r="C362" s="8" t="n">
        <f>SUM(C364,C368)</f>
        <v>162298</v>
      </c>
      <c r="D362" s="8" t="n">
        <f>SUM(D364,D368)</f>
        <v>54000</v>
      </c>
      <c r="E362" s="8" t="n">
        <f>SUM(E364,E368)</f>
        <v>556000</v>
      </c>
      <c r="F362" s="8" t="n">
        <f>SUM(F364,F368)</f>
        <v>946000</v>
      </c>
      <c r="G362" s="8" t="n">
        <f>SUM(G364,G368)</f>
        <v>529000</v>
      </c>
      <c r="H362" s="8" t="n">
        <f>SUM(H364,H368)</f>
        <v>313765</v>
      </c>
      <c r="I362" s="9" t="n">
        <f>SUM(I364,I368)</f>
        <v>213404</v>
      </c>
      <c r="J362" s="8" t="n">
        <f>SUM(J364,J368)</f>
        <v>664120</v>
      </c>
      <c r="K362" s="8" t="n">
        <f>SUM(K364,K368)</f>
        <v>673552</v>
      </c>
      <c r="L362" s="8" t="n">
        <f>SUM(L364,L368)</f>
        <v>56364</v>
      </c>
      <c r="M362" s="12"/>
      <c r="N362" s="12"/>
      <c r="O362" s="12"/>
      <c r="P362" s="12"/>
      <c r="Q362" s="12"/>
      <c r="R362" s="12"/>
      <c r="S362" s="12"/>
      <c r="T362" s="12"/>
      <c r="U362" s="12"/>
    </row>
    <row r="363">
      <c r="A363" s="17"/>
      <c r="B363" s="11" t="s">
        <v>1354</v>
      </c>
      <c r="C363" s="8" t="n">
        <f>C366-C376</f>
        <v>149</v>
      </c>
      <c r="D363" s="8" t="n">
        <f>D366-D376</f>
        <v>46</v>
      </c>
      <c r="E363" s="8" t="n">
        <f>E366-E376</f>
        <v>1064</v>
      </c>
      <c r="F363" s="8" t="n">
        <f>F366-F376</f>
        <v>1000</v>
      </c>
      <c r="G363" s="8" t="n">
        <f>G366-G376</f>
        <v>0</v>
      </c>
      <c r="H363" s="8" t="n">
        <f>H366-H376</f>
        <v>1035</v>
      </c>
      <c r="I363" s="9" t="n">
        <f>I366-I376</f>
        <v>1067</v>
      </c>
      <c r="J363" s="8" t="n">
        <f>J366-J376</f>
        <v>411</v>
      </c>
      <c r="K363" s="8" t="n">
        <f>K366-K376</f>
        <v>-245469</v>
      </c>
      <c r="L363" s="8" t="n">
        <f>L366-L376</f>
        <v>74</v>
      </c>
      <c r="M363" s="12"/>
      <c r="N363" s="12"/>
      <c r="O363" s="12"/>
      <c r="P363" s="12"/>
      <c r="Q363" s="12"/>
      <c r="R363" s="12"/>
      <c r="S363" s="12"/>
      <c r="T363" s="12"/>
      <c r="U363" s="12"/>
    </row>
    <row r="364">
      <c r="A364" s="17" t="s">
        <v>1355</v>
      </c>
      <c r="B364" s="19" t="s">
        <v>1356</v>
      </c>
      <c r="C364" s="8" t="n">
        <v>133000</v>
      </c>
      <c r="D364" s="8" t="n">
        <v>24000</v>
      </c>
      <c r="E364" s="8" t="n">
        <v>274000</v>
      </c>
      <c r="F364" s="8" t="n">
        <v>701000</v>
      </c>
      <c r="G364" s="8" t="n">
        <v>124000</v>
      </c>
      <c r="H364" s="8" t="n">
        <v>200489</v>
      </c>
      <c r="I364" s="9" t="n">
        <v>87874</v>
      </c>
      <c r="J364" s="8" t="n">
        <v>49298</v>
      </c>
      <c r="K364" s="8" t="n">
        <v>381862</v>
      </c>
      <c r="L364" s="8" t="n">
        <v>27233</v>
      </c>
      <c r="M364" s="12"/>
      <c r="N364" s="12"/>
      <c r="O364" s="12"/>
      <c r="P364" s="12"/>
      <c r="Q364" s="12"/>
      <c r="R364" s="12"/>
      <c r="S364" s="12"/>
      <c r="T364" s="12"/>
      <c r="U364" s="12"/>
    </row>
    <row r="365">
      <c r="A365" s="17"/>
      <c r="B365" s="19" t="s">
        <v>1357</v>
      </c>
      <c r="C365" s="8"/>
      <c r="D365" s="8" t="n">
        <v>400</v>
      </c>
      <c r="E365" s="8" t="n">
        <v>13250</v>
      </c>
      <c r="F365" s="8" t="n">
        <v>5010</v>
      </c>
      <c r="G365" s="8" t="n">
        <v>2200</v>
      </c>
      <c r="H365" s="8" t="n">
        <v>3210</v>
      </c>
      <c r="I365" s="8" t="n">
        <v>1020</v>
      </c>
      <c r="J365" s="8" t="n">
        <v>328</v>
      </c>
      <c r="K365" s="8" t="n">
        <v>1969</v>
      </c>
      <c r="L365" s="8" t="n">
        <v>62</v>
      </c>
      <c r="M365" s="12"/>
      <c r="N365" s="12"/>
      <c r="O365" s="12"/>
      <c r="P365" s="12"/>
      <c r="Q365" s="12"/>
      <c r="R365" s="12"/>
      <c r="S365" s="12"/>
      <c r="T365" s="12"/>
      <c r="U365" s="12"/>
    </row>
    <row r="366">
      <c r="A366" s="17"/>
      <c r="B366" s="19" t="s">
        <v>1358</v>
      </c>
      <c r="C366" s="8" t="n">
        <v>1621149</v>
      </c>
      <c r="D366" s="8" t="n">
        <v>24667</v>
      </c>
      <c r="E366" s="8" t="n">
        <v>42987</v>
      </c>
      <c r="F366" s="8" t="n">
        <v>220000</v>
      </c>
      <c r="G366" s="8" t="n">
        <v>114000</v>
      </c>
      <c r="H366" s="8" t="n">
        <v>119035</v>
      </c>
      <c r="I366" s="9" t="n">
        <v>941732</v>
      </c>
      <c r="J366" s="8" t="n">
        <v>115053</v>
      </c>
      <c r="K366" s="8" t="n">
        <v>115053</v>
      </c>
      <c r="L366" s="8" t="n">
        <v>84564</v>
      </c>
      <c r="M366" s="12"/>
      <c r="N366" s="12"/>
      <c r="O366" s="12"/>
      <c r="P366" s="12"/>
      <c r="Q366" s="12"/>
      <c r="R366" s="12"/>
      <c r="S366" s="12"/>
      <c r="T366" s="12"/>
      <c r="U366" s="12"/>
    </row>
    <row r="367">
      <c r="A367" s="4"/>
      <c r="B367" s="4"/>
      <c r="C367" s="4" t="s">
        <v>1359</v>
      </c>
      <c r="D367" s="4" t="s">
        <v>1360</v>
      </c>
      <c r="E367" s="4" t="s">
        <v>1361</v>
      </c>
      <c r="F367" s="4" t="s">
        <v>1362</v>
      </c>
      <c r="G367" s="4" t="s">
        <v>1363</v>
      </c>
      <c r="H367" s="4" t="s">
        <v>1364</v>
      </c>
      <c r="I367" s="4" t="s">
        <v>1365</v>
      </c>
      <c r="J367" s="4" t="s">
        <v>1366</v>
      </c>
      <c r="K367" s="4" t="s">
        <v>1367</v>
      </c>
      <c r="L367" s="4" t="s">
        <v>1368</v>
      </c>
      <c r="M367" s="12"/>
      <c r="N367" s="12"/>
      <c r="O367" s="12"/>
      <c r="P367" s="12"/>
      <c r="Q367" s="12"/>
      <c r="R367" s="12"/>
      <c r="S367" s="12"/>
      <c r="T367" s="12"/>
      <c r="U367" s="12"/>
    </row>
    <row r="368">
      <c r="A368" s="17" t="s">
        <v>1369</v>
      </c>
      <c r="B368" s="19" t="s">
        <v>1370</v>
      </c>
      <c r="C368" s="8" t="n">
        <v>29298</v>
      </c>
      <c r="D368" s="8" t="n">
        <v>30000</v>
      </c>
      <c r="E368" s="8" t="n">
        <v>282000</v>
      </c>
      <c r="F368" s="8" t="n">
        <v>245000</v>
      </c>
      <c r="G368" s="8" t="n">
        <v>405000</v>
      </c>
      <c r="H368" s="8" t="n">
        <v>113276</v>
      </c>
      <c r="I368" s="9" t="n">
        <v>125530</v>
      </c>
      <c r="J368" s="8" t="n">
        <v>614822</v>
      </c>
      <c r="K368" s="8" t="n">
        <v>291690</v>
      </c>
      <c r="L368" s="8" t="n">
        <v>29131</v>
      </c>
      <c r="M368" s="12"/>
      <c r="N368" s="12"/>
      <c r="O368" s="12"/>
      <c r="P368" s="12"/>
      <c r="Q368" s="12"/>
      <c r="R368" s="12"/>
      <c r="S368" s="12"/>
      <c r="T368" s="12"/>
      <c r="U368" s="12"/>
    </row>
    <row r="369">
      <c r="A369" s="17"/>
      <c r="B369" s="19" t="s">
        <v>1371</v>
      </c>
      <c r="C369" s="8"/>
      <c r="D369" s="8" t="n">
        <v>450</v>
      </c>
      <c r="E369" s="8" t="n">
        <v>5000</v>
      </c>
      <c r="F369" s="8" t="n">
        <v>2500</v>
      </c>
      <c r="G369" s="8" t="n">
        <v>5261</v>
      </c>
      <c r="H369" s="8" t="n">
        <v>2400</v>
      </c>
      <c r="I369" s="8" t="n">
        <v>979</v>
      </c>
      <c r="J369" s="8" t="n">
        <v>2460</v>
      </c>
      <c r="K369" s="8" t="n">
        <v>1213</v>
      </c>
      <c r="L369" s="8" t="n">
        <v>87</v>
      </c>
      <c r="M369" s="12"/>
      <c r="N369" s="12"/>
      <c r="O369" s="12"/>
      <c r="P369" s="12"/>
      <c r="Q369" s="12"/>
      <c r="R369" s="12"/>
      <c r="S369" s="12"/>
      <c r="T369" s="12"/>
      <c r="U369" s="12"/>
    </row>
    <row r="370">
      <c r="A370" s="17"/>
      <c r="B370" s="19" t="s">
        <v>1372</v>
      </c>
      <c r="C370" s="8" t="n">
        <v>1621301</v>
      </c>
      <c r="D370" s="8" t="n">
        <v>24631</v>
      </c>
      <c r="E370" s="8" t="n">
        <v>42382</v>
      </c>
      <c r="F370" s="8" t="n">
        <v>219000</v>
      </c>
      <c r="G370" s="8" t="n">
        <v>114000</v>
      </c>
      <c r="H370" s="8" t="n">
        <v>118558</v>
      </c>
      <c r="I370" s="9" t="n">
        <v>941228</v>
      </c>
      <c r="J370" s="8" t="n">
        <v>114943</v>
      </c>
      <c r="K370" s="8" t="n">
        <v>360626</v>
      </c>
      <c r="L370" s="8" t="n">
        <v>84531</v>
      </c>
      <c r="M370" s="12"/>
      <c r="N370" s="12"/>
      <c r="O370" s="12"/>
      <c r="P370" s="12"/>
      <c r="Q370" s="12"/>
      <c r="R370" s="12"/>
      <c r="S370" s="12"/>
      <c r="T370" s="12"/>
      <c r="U370" s="12"/>
    </row>
    <row r="371">
      <c r="A371" s="4"/>
      <c r="B371" s="4"/>
      <c r="C371" s="4" t="s">
        <v>1373</v>
      </c>
      <c r="D371" s="4" t="s">
        <v>1374</v>
      </c>
      <c r="E371" s="4" t="s">
        <v>1375</v>
      </c>
      <c r="F371" s="4" t="s">
        <v>1376</v>
      </c>
      <c r="G371" s="4" t="s">
        <v>1377</v>
      </c>
      <c r="H371" s="4" t="s">
        <v>1378</v>
      </c>
      <c r="I371" s="4" t="s">
        <v>1379</v>
      </c>
      <c r="J371" s="4" t="s">
        <v>1380</v>
      </c>
      <c r="K371" s="4" t="s">
        <v>1381</v>
      </c>
      <c r="L371" s="4" t="s">
        <v>1382</v>
      </c>
      <c r="M371" s="12"/>
      <c r="N371" s="12"/>
      <c r="O371" s="12"/>
      <c r="P371" s="12"/>
      <c r="Q371" s="12"/>
      <c r="R371" s="12"/>
      <c r="S371" s="12"/>
      <c r="T371" s="12"/>
      <c r="U371" s="12"/>
    </row>
    <row r="372">
      <c r="A372" s="17" t="s">
        <v>1383</v>
      </c>
      <c r="B372" s="11" t="s">
        <v>1384</v>
      </c>
      <c r="C372" s="8" t="n">
        <f>SUM(C374,C378)</f>
        <v>47215</v>
      </c>
      <c r="D372" s="8" t="n">
        <f>SUM(D374,D378)</f>
        <v>135000</v>
      </c>
      <c r="E372" s="8" t="n">
        <f>SUM(E374,E378)</f>
        <v>510000</v>
      </c>
      <c r="F372" s="8" t="n">
        <f>SUM(F374,F378)</f>
        <v>1645000</v>
      </c>
      <c r="G372" s="8" t="n">
        <f>SUM(G374,G378)</f>
        <v>1369000</v>
      </c>
      <c r="H372" s="8" t="n">
        <f>SUM(H374,H378)</f>
        <v>365775</v>
      </c>
      <c r="I372" s="9" t="n">
        <f>SUM(I374,I378)</f>
        <v>205911</v>
      </c>
      <c r="J372" s="8" t="n">
        <f>SUM(J374,J378)</f>
        <v>271053</v>
      </c>
      <c r="K372" s="8" t="n">
        <f>SUM(K374,K378)</f>
        <v>882470</v>
      </c>
      <c r="L372" s="8" t="n">
        <f>SUM(L374,L378)</f>
        <v>60687</v>
      </c>
      <c r="M372" s="12"/>
      <c r="N372" s="12"/>
      <c r="O372" s="12"/>
      <c r="P372" s="12"/>
      <c r="Q372" s="12"/>
      <c r="R372" s="12"/>
      <c r="S372" s="12"/>
      <c r="T372" s="12"/>
      <c r="U372" s="12"/>
    </row>
    <row r="373">
      <c r="A373" s="17"/>
      <c r="B373" s="11" t="s">
        <v>1385</v>
      </c>
      <c r="C373" s="8" t="n">
        <f>C376-C386</f>
        <v>-750</v>
      </c>
      <c r="D373" s="8" t="n">
        <f>D376-D386</f>
        <v>187</v>
      </c>
      <c r="E373" s="8" t="n">
        <f>E376-E386</f>
        <v>1402</v>
      </c>
      <c r="F373" s="8" t="n">
        <f>F376-F386</f>
        <v>2000</v>
      </c>
      <c r="G373" s="8" t="n">
        <f>G376-G386</f>
        <v>1000</v>
      </c>
      <c r="H373" s="8" t="n">
        <f>H376-H386</f>
        <v>2000</v>
      </c>
      <c r="I373" s="9" t="n">
        <f>I376-I386</f>
        <v>1834</v>
      </c>
      <c r="J373" s="8" t="n">
        <f>J376-J386</f>
        <v>664</v>
      </c>
      <c r="K373" s="8" t="n">
        <f>K376-K386</f>
        <v>467</v>
      </c>
      <c r="L373" s="8" t="n">
        <f>L376-L386</f>
        <v>115</v>
      </c>
      <c r="M373" s="12"/>
      <c r="N373" s="12"/>
      <c r="O373" s="12"/>
      <c r="P373" s="12"/>
      <c r="Q373" s="12"/>
      <c r="R373" s="12"/>
      <c r="S373" s="12"/>
      <c r="T373" s="12"/>
      <c r="U373" s="12"/>
    </row>
    <row r="374">
      <c r="A374" s="17" t="s">
        <v>1386</v>
      </c>
      <c r="B374" s="19" t="s">
        <v>1387</v>
      </c>
      <c r="C374" s="40" t="n">
        <v>26269</v>
      </c>
      <c r="D374" s="8" t="n">
        <v>69000</v>
      </c>
      <c r="E374" s="8" t="n">
        <v>271000</v>
      </c>
      <c r="F374" s="8" t="n">
        <v>883000</v>
      </c>
      <c r="G374" s="8" t="n">
        <v>199000</v>
      </c>
      <c r="H374" s="8" t="n">
        <v>177808</v>
      </c>
      <c r="I374" s="9" t="n">
        <v>112109</v>
      </c>
      <c r="J374" s="8" t="n">
        <v>153918</v>
      </c>
      <c r="K374" s="8" t="n">
        <v>274876</v>
      </c>
      <c r="L374" s="8" t="n">
        <v>47994</v>
      </c>
      <c r="M374" s="12"/>
      <c r="N374" s="12"/>
      <c r="O374" s="12"/>
      <c r="P374" s="12"/>
      <c r="Q374" s="12"/>
      <c r="R374" s="12"/>
      <c r="S374" s="12"/>
      <c r="T374" s="12"/>
      <c r="U374" s="12"/>
    </row>
    <row r="375">
      <c r="A375" s="17"/>
      <c r="B375" s="19" t="s">
        <v>1388</v>
      </c>
      <c r="C375" s="8"/>
      <c r="D375" s="8" t="n">
        <v>1300</v>
      </c>
      <c r="E375" s="8" t="n">
        <v>6800</v>
      </c>
      <c r="F375" s="8" t="n">
        <v>7300</v>
      </c>
      <c r="G375" s="8" t="n">
        <v>4700</v>
      </c>
      <c r="H375" s="8" t="n">
        <v>4200</v>
      </c>
      <c r="I375" s="8" t="n">
        <v>956</v>
      </c>
      <c r="J375" s="8" t="n">
        <v>1516</v>
      </c>
      <c r="K375" s="8" t="n">
        <v>956</v>
      </c>
      <c r="L375" s="8" t="n">
        <v>150</v>
      </c>
      <c r="M375" s="12"/>
      <c r="N375" s="12"/>
      <c r="O375" s="12"/>
      <c r="P375" s="12"/>
      <c r="Q375" s="12"/>
      <c r="R375" s="12"/>
      <c r="S375" s="12"/>
      <c r="T375" s="12"/>
      <c r="U375" s="12"/>
    </row>
    <row r="376">
      <c r="A376" s="17"/>
      <c r="B376" s="19" t="s">
        <v>1389</v>
      </c>
      <c r="C376" s="8" t="n">
        <v>1621000</v>
      </c>
      <c r="D376" s="8" t="n">
        <v>24621</v>
      </c>
      <c r="E376" s="8" t="n">
        <v>41923</v>
      </c>
      <c r="F376" s="8" t="n">
        <v>219000</v>
      </c>
      <c r="G376" s="8" t="n">
        <v>114000</v>
      </c>
      <c r="H376" s="8" t="n">
        <v>118000</v>
      </c>
      <c r="I376" s="9" t="n">
        <v>940665</v>
      </c>
      <c r="J376" s="8" t="n">
        <v>114642</v>
      </c>
      <c r="K376" s="8" t="n">
        <v>360522</v>
      </c>
      <c r="L376" s="8" t="n">
        <v>84490</v>
      </c>
      <c r="M376" s="12"/>
      <c r="N376" s="12"/>
      <c r="O376" s="12"/>
      <c r="P376" s="12"/>
      <c r="Q376" s="12"/>
      <c r="R376" s="12"/>
      <c r="S376" s="12"/>
      <c r="T376" s="12"/>
      <c r="U376" s="12"/>
    </row>
    <row r="377">
      <c r="A377" s="4"/>
      <c r="B377" s="4"/>
      <c r="C377" s="4" t="s">
        <v>1390</v>
      </c>
      <c r="D377" s="4" t="s">
        <v>1391</v>
      </c>
      <c r="E377" s="4" t="s">
        <v>1392</v>
      </c>
      <c r="F377" s="4" t="s">
        <v>1393</v>
      </c>
      <c r="G377" s="4" t="s">
        <v>1394</v>
      </c>
      <c r="H377" s="4" t="s">
        <v>1395</v>
      </c>
      <c r="I377" s="4" t="s">
        <v>1396</v>
      </c>
      <c r="J377" s="4" t="s">
        <v>1397</v>
      </c>
      <c r="K377" s="4" t="s">
        <v>1398</v>
      </c>
      <c r="L377" s="4" t="s">
        <v>1399</v>
      </c>
      <c r="M377" s="12"/>
      <c r="N377" s="12"/>
      <c r="O377" s="12"/>
      <c r="P377" s="12"/>
      <c r="Q377" s="12"/>
      <c r="R377" s="12"/>
      <c r="S377" s="12"/>
      <c r="T377" s="12"/>
      <c r="U377" s="12"/>
    </row>
    <row r="378">
      <c r="A378" s="17" t="s">
        <v>1400</v>
      </c>
      <c r="B378" s="19" t="s">
        <v>1401</v>
      </c>
      <c r="C378" s="8" t="n">
        <v>20946</v>
      </c>
      <c r="D378" s="8" t="n">
        <v>66000</v>
      </c>
      <c r="E378" s="8" t="n">
        <v>239000</v>
      </c>
      <c r="F378" s="8" t="n">
        <v>762000</v>
      </c>
      <c r="G378" s="8" t="n">
        <v>1170000</v>
      </c>
      <c r="H378" s="8" t="n">
        <v>187967</v>
      </c>
      <c r="I378" s="9" t="n">
        <v>93802</v>
      </c>
      <c r="J378" s="8" t="n">
        <v>117135</v>
      </c>
      <c r="K378" s="8" t="n">
        <v>607594</v>
      </c>
      <c r="L378" s="8" t="n">
        <v>12693</v>
      </c>
      <c r="M378" s="12"/>
      <c r="N378" s="12"/>
      <c r="O378" s="12"/>
      <c r="P378" s="12"/>
      <c r="Q378" s="12"/>
      <c r="R378" s="12"/>
      <c r="S378" s="12"/>
      <c r="T378" s="12"/>
      <c r="U378" s="12"/>
    </row>
    <row r="379">
      <c r="A379" s="17"/>
      <c r="B379" s="19" t="s">
        <v>1402</v>
      </c>
      <c r="C379" s="41"/>
      <c r="D379" s="8" t="n">
        <v>1120</v>
      </c>
      <c r="E379" s="8" t="n">
        <v>9000</v>
      </c>
      <c r="F379" s="8" t="n">
        <v>12300</v>
      </c>
      <c r="G379" s="8" t="n">
        <v>8492</v>
      </c>
      <c r="H379" s="8" t="n">
        <v>5012</v>
      </c>
      <c r="I379" s="8" t="n">
        <v>878</v>
      </c>
      <c r="J379" s="8" t="n">
        <v>1417</v>
      </c>
      <c r="K379" s="8" t="n">
        <v>2730</v>
      </c>
      <c r="L379" s="8" t="n">
        <v>123</v>
      </c>
      <c r="M379" s="12"/>
      <c r="N379" s="12"/>
      <c r="O379" s="12"/>
      <c r="P379" s="12"/>
      <c r="Q379" s="12"/>
      <c r="R379" s="12"/>
      <c r="S379" s="12"/>
      <c r="T379" s="12"/>
      <c r="U379" s="12"/>
    </row>
    <row r="380">
      <c r="A380" s="17"/>
      <c r="B380" s="19" t="s">
        <v>1403</v>
      </c>
      <c r="C380" s="8" t="n">
        <v>1621874</v>
      </c>
      <c r="D380" s="8" t="n">
        <v>24518</v>
      </c>
      <c r="E380" s="8" t="n">
        <v>41384</v>
      </c>
      <c r="F380" s="8" t="n">
        <v>219000</v>
      </c>
      <c r="G380" s="8" t="n">
        <v>114000</v>
      </c>
      <c r="H380" s="8" t="n">
        <v>117760</v>
      </c>
      <c r="I380" s="9" t="n">
        <v>939403</v>
      </c>
      <c r="J380" s="8" t="n">
        <v>114339</v>
      </c>
      <c r="K380" s="8" t="n">
        <v>360359</v>
      </c>
      <c r="L380" s="8" t="n">
        <v>84419</v>
      </c>
      <c r="M380" s="12"/>
      <c r="N380" s="12"/>
      <c r="O380" s="12"/>
      <c r="P380" s="12"/>
      <c r="Q380" s="12"/>
      <c r="R380" s="12"/>
      <c r="S380" s="12"/>
      <c r="T380" s="12"/>
      <c r="U380" s="12"/>
    </row>
    <row r="381">
      <c r="A381" s="4"/>
      <c r="B381" s="4"/>
      <c r="C381" s="4" t="s">
        <v>1404</v>
      </c>
      <c r="D381" s="4" t="s">
        <v>1405</v>
      </c>
      <c r="E381" s="4" t="s">
        <v>1406</v>
      </c>
      <c r="F381" s="4" t="s">
        <v>1407</v>
      </c>
      <c r="G381" s="4" t="s">
        <v>1408</v>
      </c>
      <c r="H381" s="4" t="s">
        <v>1409</v>
      </c>
      <c r="I381" s="4" t="s">
        <v>1410</v>
      </c>
      <c r="J381" s="4" t="s">
        <v>1411</v>
      </c>
      <c r="K381" s="4" t="s">
        <v>1412</v>
      </c>
      <c r="L381" s="4" t="s">
        <v>1413</v>
      </c>
      <c r="M381" s="12"/>
      <c r="N381" s="12"/>
      <c r="O381" s="12"/>
      <c r="P381" s="12"/>
      <c r="Q381" s="12"/>
      <c r="R381" s="12"/>
      <c r="S381" s="12"/>
      <c r="T381" s="12"/>
      <c r="U381" s="12"/>
    </row>
    <row r="382">
      <c r="A382" s="17" t="s">
        <v>1414</v>
      </c>
      <c r="B382" s="11" t="s">
        <v>1415</v>
      </c>
      <c r="C382" s="8" t="n">
        <f>SUM(C384,C388)</f>
        <v>34596</v>
      </c>
      <c r="D382" s="8" t="n">
        <f>SUM(D384,D388)</f>
        <v>135000</v>
      </c>
      <c r="E382" s="8" t="n">
        <f>SUM(E384,E388)</f>
        <v>396000</v>
      </c>
      <c r="F382" s="8" t="n">
        <f>SUM(F384,F388)</f>
        <v>551000</v>
      </c>
      <c r="G382" s="8" t="n">
        <f>SUM(G384,G388)</f>
        <v>199000</v>
      </c>
      <c r="H382" s="8" t="n">
        <f>SUM(H384,H388)</f>
        <v>376452</v>
      </c>
      <c r="I382" s="9" t="n">
        <f>SUM(I384,I388)</f>
        <v>192930</v>
      </c>
      <c r="J382" s="8" t="n">
        <f>SUM(J384,J388)</f>
        <v>163880</v>
      </c>
      <c r="K382" s="8" t="n">
        <f>SUM(K384,K388)</f>
        <v>655343</v>
      </c>
      <c r="L382" s="8" t="n">
        <f>SUM(L384,L388)</f>
        <v>35015</v>
      </c>
      <c r="M382" s="12"/>
      <c r="N382" s="12"/>
      <c r="O382" s="12"/>
      <c r="P382" s="12"/>
      <c r="Q382" s="12"/>
      <c r="R382" s="12"/>
      <c r="S382" s="12"/>
      <c r="T382" s="12"/>
      <c r="U382" s="12"/>
    </row>
    <row r="383">
      <c r="A383" s="17"/>
      <c r="B383" s="11" t="s">
        <v>1416</v>
      </c>
      <c r="C383" s="8" t="n">
        <f>C386-C396</f>
        <v>-284</v>
      </c>
      <c r="D383" s="8" t="n">
        <f>D386-D396</f>
        <v>82</v>
      </c>
      <c r="E383" s="8" t="n">
        <f>E386-E396</f>
        <v>1325</v>
      </c>
      <c r="F383" s="8" t="n">
        <f>F386-F396</f>
        <v>1000</v>
      </c>
      <c r="G383" s="8" t="n">
        <f>G386-G396</f>
        <v>1000</v>
      </c>
      <c r="H383" s="8" t="n">
        <f>H386-H396</f>
        <v>1604</v>
      </c>
      <c r="I383" s="9" t="n">
        <f>I386-I396</f>
        <v>1257</v>
      </c>
      <c r="J383" s="8" t="n">
        <f>J386-J396</f>
        <v>426</v>
      </c>
      <c r="K383" s="8" t="n">
        <f>K386-K396</f>
        <v>506</v>
      </c>
      <c r="L383" s="8" t="n">
        <f>L386-L396</f>
        <v>150</v>
      </c>
      <c r="M383" s="12"/>
      <c r="N383" s="12"/>
      <c r="O383" s="12"/>
      <c r="P383" s="12"/>
      <c r="Q383" s="12"/>
      <c r="R383" s="12"/>
      <c r="S383" s="12"/>
      <c r="T383" s="12"/>
      <c r="U383" s="12"/>
    </row>
    <row r="384">
      <c r="A384" s="17" t="s">
        <v>1417</v>
      </c>
      <c r="B384" s="19" t="s">
        <v>1418</v>
      </c>
      <c r="C384" s="8" t="n">
        <v>10006</v>
      </c>
      <c r="D384" s="8" t="n">
        <v>68000</v>
      </c>
      <c r="E384" s="8" t="n">
        <v>164000</v>
      </c>
      <c r="F384" s="8" t="n">
        <v>285000</v>
      </c>
      <c r="G384" s="8" t="n">
        <v>92000</v>
      </c>
      <c r="H384" s="8" t="n">
        <v>180152</v>
      </c>
      <c r="I384" s="9" t="n">
        <v>102961</v>
      </c>
      <c r="J384" s="8" t="n">
        <v>61754</v>
      </c>
      <c r="K384" s="8" t="n">
        <v>459218</v>
      </c>
      <c r="L384" s="8" t="n">
        <v>16336</v>
      </c>
      <c r="M384" s="12"/>
      <c r="N384" s="12"/>
      <c r="O384" s="12"/>
      <c r="P384" s="12"/>
      <c r="Q384" s="12"/>
      <c r="R384" s="12"/>
      <c r="S384" s="12"/>
      <c r="T384" s="12"/>
      <c r="U384" s="12"/>
    </row>
    <row r="385">
      <c r="A385" s="17"/>
      <c r="B385" s="19" t="s">
        <v>1419</v>
      </c>
      <c r="C385" s="8"/>
      <c r="D385" s="8" t="n">
        <v>985</v>
      </c>
      <c r="E385" s="8" t="n">
        <v>2643</v>
      </c>
      <c r="F385" s="8" t="n">
        <v>3100</v>
      </c>
      <c r="G385" s="8" t="n">
        <v>2230</v>
      </c>
      <c r="H385" s="8" t="n">
        <v>5532</v>
      </c>
      <c r="I385" s="8" t="n">
        <v>1172</v>
      </c>
      <c r="J385" s="8" t="n">
        <v>622</v>
      </c>
      <c r="K385" s="8" t="n">
        <v>2773</v>
      </c>
      <c r="L385" s="8" t="n">
        <v>147</v>
      </c>
      <c r="M385" s="12"/>
      <c r="N385" s="12"/>
      <c r="O385" s="12"/>
      <c r="P385" s="12"/>
      <c r="Q385" s="12"/>
      <c r="R385" s="12"/>
      <c r="S385" s="12"/>
      <c r="T385" s="12"/>
      <c r="U385" s="12"/>
    </row>
    <row r="386">
      <c r="A386" s="17"/>
      <c r="B386" s="19" t="s">
        <v>1420</v>
      </c>
      <c r="C386" s="8" t="n">
        <v>1621750</v>
      </c>
      <c r="D386" s="8" t="n">
        <v>24434</v>
      </c>
      <c r="E386" s="8" t="n">
        <v>40521</v>
      </c>
      <c r="F386" s="8" t="n">
        <v>217000</v>
      </c>
      <c r="G386" s="8" t="n">
        <v>113000</v>
      </c>
      <c r="H386" s="8" t="n">
        <v>116000</v>
      </c>
      <c r="I386" s="9" t="n">
        <v>938831</v>
      </c>
      <c r="J386" s="8" t="n">
        <v>113978</v>
      </c>
      <c r="K386" s="8" t="n">
        <v>360055</v>
      </c>
      <c r="L386" s="8" t="n">
        <v>84375</v>
      </c>
      <c r="M386" s="12"/>
      <c r="N386" s="12"/>
      <c r="O386" s="12"/>
      <c r="P386" s="12"/>
      <c r="Q386" s="12"/>
      <c r="R386" s="12"/>
      <c r="S386" s="12"/>
      <c r="T386" s="12"/>
      <c r="U386" s="12"/>
    </row>
    <row r="387">
      <c r="A387" s="4"/>
      <c r="B387" s="4"/>
      <c r="C387" s="4" t="s">
        <v>1421</v>
      </c>
      <c r="D387" s="4" t="s">
        <v>1422</v>
      </c>
      <c r="E387" s="4" t="s">
        <v>1423</v>
      </c>
      <c r="F387" s="4" t="s">
        <v>1424</v>
      </c>
      <c r="G387" s="4" t="s">
        <v>1425</v>
      </c>
      <c r="H387" s="4" t="s">
        <v>1426</v>
      </c>
      <c r="I387" s="4" t="s">
        <v>1427</v>
      </c>
      <c r="J387" s="4" t="s">
        <v>1428</v>
      </c>
      <c r="K387" s="4" t="s">
        <v>1429</v>
      </c>
      <c r="L387" s="4" t="s">
        <v>1430</v>
      </c>
      <c r="M387" s="12"/>
      <c r="N387" s="12"/>
      <c r="O387" s="12"/>
      <c r="P387" s="12"/>
      <c r="Q387" s="12"/>
      <c r="R387" s="12"/>
      <c r="S387" s="12"/>
      <c r="T387" s="12"/>
      <c r="U387" s="12"/>
    </row>
    <row r="388">
      <c r="A388" s="17" t="s">
        <v>1431</v>
      </c>
      <c r="B388" s="19" t="s">
        <v>1432</v>
      </c>
      <c r="C388" s="8" t="n">
        <v>24590</v>
      </c>
      <c r="D388" s="8" t="n">
        <v>67000</v>
      </c>
      <c r="E388" s="8" t="n">
        <v>232000</v>
      </c>
      <c r="F388" s="8" t="n">
        <v>266000</v>
      </c>
      <c r="G388" s="8" t="n">
        <v>107000</v>
      </c>
      <c r="H388" s="8" t="n">
        <v>196300</v>
      </c>
      <c r="I388" s="9" t="n">
        <v>89969</v>
      </c>
      <c r="J388" s="8" t="n">
        <v>102126</v>
      </c>
      <c r="K388" s="8" t="n">
        <v>196125</v>
      </c>
      <c r="L388" s="8" t="n">
        <v>18679</v>
      </c>
      <c r="M388" s="12"/>
      <c r="N388" s="12"/>
      <c r="O388" s="12"/>
      <c r="P388" s="12"/>
      <c r="Q388" s="12"/>
      <c r="R388" s="12"/>
      <c r="S388" s="12"/>
      <c r="T388" s="12"/>
      <c r="U388" s="12"/>
    </row>
    <row r="389">
      <c r="A389" s="17"/>
      <c r="B389" s="19" t="s">
        <v>1433</v>
      </c>
      <c r="C389" s="8"/>
      <c r="D389" s="8" t="n">
        <v>1200</v>
      </c>
      <c r="E389" s="8" t="n">
        <v>7454</v>
      </c>
      <c r="F389" s="8" t="n">
        <v>4992</v>
      </c>
      <c r="G389" s="8" t="n">
        <v>2662</v>
      </c>
      <c r="H389" s="8" t="n">
        <v>4967</v>
      </c>
      <c r="I389" s="8" t="n">
        <v>962</v>
      </c>
      <c r="J389" s="8" t="n">
        <v>709</v>
      </c>
      <c r="K389" s="8" t="n">
        <v>451</v>
      </c>
      <c r="L389" s="8" t="n">
        <v>154</v>
      </c>
      <c r="M389" s="12"/>
      <c r="N389" s="12"/>
      <c r="O389" s="12"/>
      <c r="P389" s="12"/>
      <c r="Q389" s="12"/>
      <c r="R389" s="12"/>
      <c r="S389" s="12"/>
      <c r="T389" s="12"/>
      <c r="U389" s="12"/>
    </row>
    <row r="390">
      <c r="A390" s="17"/>
      <c r="B390" s="19" t="s">
        <v>1434</v>
      </c>
      <c r="C390" s="8" t="n">
        <v>1621874</v>
      </c>
      <c r="D390" s="8" t="n">
        <v>24393</v>
      </c>
      <c r="E390" s="8" t="n">
        <v>39908</v>
      </c>
      <c r="F390" s="8" t="n">
        <v>216000</v>
      </c>
      <c r="G390" s="8" t="n">
        <v>112000</v>
      </c>
      <c r="H390" s="8" t="n">
        <v>115359</v>
      </c>
      <c r="I390" s="9" t="n">
        <v>938179</v>
      </c>
      <c r="J390" s="8" t="n">
        <v>113809</v>
      </c>
      <c r="K390" s="8" t="n">
        <v>359695</v>
      </c>
      <c r="L390" s="8" t="n">
        <v>84313</v>
      </c>
      <c r="M390" s="12"/>
      <c r="N390" s="12"/>
      <c r="O390" s="12"/>
      <c r="P390" s="12"/>
      <c r="Q390" s="12"/>
      <c r="R390" s="12"/>
      <c r="S390" s="12"/>
      <c r="T390" s="12"/>
      <c r="U390" s="12"/>
    </row>
    <row r="391">
      <c r="A391" s="4"/>
      <c r="B391" s="4"/>
      <c r="C391" s="4" t="s">
        <v>1435</v>
      </c>
      <c r="D391" s="4" t="s">
        <v>1436</v>
      </c>
      <c r="E391" s="4" t="s">
        <v>1437</v>
      </c>
      <c r="F391" s="4" t="s">
        <v>1438</v>
      </c>
      <c r="G391" s="4" t="s">
        <v>1439</v>
      </c>
      <c r="H391" s="4" t="s">
        <v>1440</v>
      </c>
      <c r="I391" s="4" t="s">
        <v>1441</v>
      </c>
      <c r="J391" s="4" t="s">
        <v>1442</v>
      </c>
      <c r="K391" s="4" t="s">
        <v>1443</v>
      </c>
      <c r="L391" s="4" t="s">
        <v>1444</v>
      </c>
      <c r="M391" s="12"/>
      <c r="N391" s="12"/>
      <c r="O391" s="12"/>
      <c r="P391" s="12"/>
      <c r="Q391" s="12"/>
      <c r="R391" s="12"/>
      <c r="S391" s="12"/>
      <c r="T391" s="12"/>
      <c r="U391" s="12"/>
    </row>
    <row r="392">
      <c r="A392" s="6" t="s">
        <v>1445</v>
      </c>
      <c r="B392" s="11" t="s">
        <v>1446</v>
      </c>
      <c r="C392" s="8" t="n">
        <f>SUM(C394,C398,C402,C406)</f>
        <v>115873</v>
      </c>
      <c r="D392" s="8" t="n">
        <f>SUM(D394,D398,D402,D406)</f>
        <v>473000</v>
      </c>
      <c r="E392" s="8" t="n">
        <f>SUM(E394,E398,E402,E406)</f>
        <v>705000</v>
      </c>
      <c r="F392" s="8" t="n">
        <f>SUM(F394,F398,F402,F406)</f>
        <v>1456000</v>
      </c>
      <c r="G392" s="8" t="n">
        <f>SUM(G394,G398,G402,G406)</f>
        <v>604000</v>
      </c>
      <c r="H392" s="8" t="n">
        <f>SUM(H394,H398,H402,H406)</f>
        <v>1335809</v>
      </c>
      <c r="I392" s="9" t="n">
        <f>SUM(I394,I398,I402,I406)</f>
        <v>477600</v>
      </c>
      <c r="J392" s="8" t="n">
        <f>SUM(J394,J398,J402,J406)</f>
        <v>365160</v>
      </c>
      <c r="K392" s="8" t="n">
        <f>SUM(K394,K398,K402,K406)</f>
        <v>690968</v>
      </c>
      <c r="L392" s="8" t="n">
        <f>SUM(L394,L398,L402,L406)</f>
        <v>72895</v>
      </c>
      <c r="M392" s="12"/>
      <c r="N392" s="12"/>
      <c r="O392" s="12"/>
      <c r="P392" s="12"/>
      <c r="Q392" s="12"/>
      <c r="R392" s="12"/>
      <c r="S392" s="12"/>
      <c r="T392" s="12"/>
      <c r="U392" s="12"/>
    </row>
    <row r="393">
      <c r="A393" s="6"/>
      <c r="B393" s="11" t="s">
        <v>1447</v>
      </c>
      <c r="C393" s="8" t="n">
        <f>C396-C412</f>
        <v>-514</v>
      </c>
      <c r="D393" s="8" t="n">
        <f>D396-D412</f>
        <v>270</v>
      </c>
      <c r="E393" s="8" t="n">
        <f>E396-E412</f>
        <v>2268</v>
      </c>
      <c r="F393" s="8" t="n">
        <f>F396-F412</f>
        <v>3000</v>
      </c>
      <c r="G393" s="8" t="n">
        <f>G396-G412</f>
        <v>1000</v>
      </c>
      <c r="H393" s="8" t="n">
        <f>H396-H412</f>
        <v>5396</v>
      </c>
      <c r="I393" s="9" t="n">
        <f>I396-I412</f>
        <v>2997</v>
      </c>
      <c r="J393" s="8" t="n">
        <f>J396-J412</f>
        <v>979</v>
      </c>
      <c r="K393" s="8" t="n">
        <f>K396-K412</f>
        <v>726</v>
      </c>
      <c r="L393" s="8" t="n">
        <f>L396-L412</f>
        <v>174</v>
      </c>
      <c r="M393" s="12"/>
      <c r="N393" s="12"/>
      <c r="O393" s="12"/>
      <c r="P393" s="12"/>
      <c r="Q393" s="12"/>
      <c r="R393" s="12"/>
      <c r="S393" s="12"/>
      <c r="T393" s="12"/>
      <c r="U393" s="12"/>
    </row>
    <row r="394">
      <c r="A394" s="17" t="s">
        <v>1448</v>
      </c>
      <c r="B394" s="19" t="s">
        <v>1449</v>
      </c>
      <c r="C394" s="8" t="n">
        <v>38358</v>
      </c>
      <c r="D394" s="8" t="n">
        <v>42000</v>
      </c>
      <c r="E394" s="8" t="n">
        <v>194000</v>
      </c>
      <c r="F394" s="8" t="n">
        <v>304000</v>
      </c>
      <c r="G394" s="8" t="n">
        <v>154000</v>
      </c>
      <c r="H394" s="8" t="n">
        <v>245594</v>
      </c>
      <c r="I394" s="9" t="n">
        <v>100511</v>
      </c>
      <c r="J394" s="8" t="n">
        <v>77014</v>
      </c>
      <c r="K394" s="8" t="n">
        <v>53413</v>
      </c>
      <c r="L394" s="8" t="n">
        <v>16871</v>
      </c>
      <c r="M394" s="12"/>
      <c r="N394" s="12"/>
      <c r="O394" s="12"/>
      <c r="P394" s="12"/>
      <c r="Q394" s="12"/>
      <c r="R394" s="12"/>
      <c r="S394" s="12"/>
      <c r="T394" s="12"/>
      <c r="U394" s="12"/>
    </row>
    <row r="395">
      <c r="A395" s="17"/>
      <c r="B395" s="19" t="s">
        <v>1450</v>
      </c>
      <c r="C395" s="8"/>
      <c r="D395" s="8" t="n">
        <v>700</v>
      </c>
      <c r="E395" s="8" t="n">
        <v>5500</v>
      </c>
      <c r="F395" s="8" t="n">
        <v>5000</v>
      </c>
      <c r="G395" s="8" t="n">
        <v>3000</v>
      </c>
      <c r="H395" s="8" t="n">
        <v>4832</v>
      </c>
      <c r="I395" s="8" t="n">
        <v>1105</v>
      </c>
      <c r="J395" s="8" t="n">
        <v>921</v>
      </c>
      <c r="K395" s="8" t="n">
        <v>166</v>
      </c>
      <c r="L395" s="8" t="n">
        <v>95</v>
      </c>
      <c r="M395" s="12"/>
      <c r="N395" s="12"/>
      <c r="O395" s="12"/>
      <c r="P395" s="12"/>
      <c r="Q395" s="12"/>
      <c r="R395" s="12"/>
      <c r="S395" s="12"/>
      <c r="T395" s="12"/>
      <c r="U395" s="12"/>
    </row>
    <row r="396">
      <c r="A396" s="17"/>
      <c r="B396" s="19" t="s">
        <v>1451</v>
      </c>
      <c r="C396" s="8" t="n">
        <v>1622034</v>
      </c>
      <c r="D396" s="8" t="n">
        <v>24352</v>
      </c>
      <c r="E396" s="8" t="n">
        <v>39196</v>
      </c>
      <c r="F396" s="8" t="n">
        <v>216000</v>
      </c>
      <c r="G396" s="8" t="n">
        <v>112000</v>
      </c>
      <c r="H396" s="8" t="n">
        <v>114396</v>
      </c>
      <c r="I396" s="9" t="n">
        <v>937574</v>
      </c>
      <c r="J396" s="8" t="n">
        <v>113552</v>
      </c>
      <c r="K396" s="8" t="n">
        <v>359549</v>
      </c>
      <c r="L396" s="8" t="n">
        <v>84225</v>
      </c>
      <c r="M396" s="12"/>
      <c r="N396" s="12"/>
      <c r="O396" s="12"/>
      <c r="P396" s="12"/>
      <c r="Q396" s="12"/>
      <c r="R396" s="12"/>
      <c r="S396" s="12"/>
      <c r="T396" s="12"/>
      <c r="U396" s="12"/>
    </row>
    <row r="397">
      <c r="A397" s="4"/>
      <c r="B397" s="4"/>
      <c r="C397" s="4" t="s">
        <v>1452</v>
      </c>
      <c r="D397" s="4" t="s">
        <v>1453</v>
      </c>
      <c r="E397" s="4" t="s">
        <v>1454</v>
      </c>
      <c r="F397" s="4" t="s">
        <v>1455</v>
      </c>
      <c r="G397" s="4" t="s">
        <v>1456</v>
      </c>
      <c r="H397" s="4" t="s">
        <v>1457</v>
      </c>
      <c r="I397" s="4" t="s">
        <v>1458</v>
      </c>
      <c r="J397" s="4" t="s">
        <v>1459</v>
      </c>
      <c r="K397" s="4" t="s">
        <v>1460</v>
      </c>
      <c r="L397" s="4" t="s">
        <v>1461</v>
      </c>
      <c r="M397" s="12"/>
      <c r="N397" s="12"/>
      <c r="O397" s="12"/>
      <c r="P397" s="12"/>
      <c r="Q397" s="12"/>
      <c r="R397" s="12"/>
      <c r="S397" s="12"/>
      <c r="T397" s="12"/>
      <c r="U397" s="12"/>
    </row>
    <row r="398">
      <c r="A398" s="17" t="s">
        <v>1462</v>
      </c>
      <c r="B398" s="19" t="s">
        <v>1463</v>
      </c>
      <c r="C398" s="8" t="n">
        <v>23277</v>
      </c>
      <c r="D398" s="8" t="n">
        <v>178000</v>
      </c>
      <c r="E398" s="8" t="n">
        <v>185000</v>
      </c>
      <c r="F398" s="8" t="n">
        <v>395000</v>
      </c>
      <c r="G398" s="8" t="n">
        <v>182000</v>
      </c>
      <c r="H398" s="8" t="n">
        <v>283447</v>
      </c>
      <c r="I398" s="9" t="n">
        <v>133447</v>
      </c>
      <c r="J398" s="8" t="n">
        <v>55482</v>
      </c>
      <c r="K398" s="8" t="n">
        <v>243437</v>
      </c>
      <c r="L398" s="8" t="n">
        <v>16567</v>
      </c>
      <c r="M398" s="12"/>
      <c r="N398" s="12"/>
      <c r="O398" s="12"/>
      <c r="P398" s="12"/>
      <c r="Q398" s="12"/>
      <c r="R398" s="12"/>
      <c r="S398" s="12"/>
      <c r="T398" s="12"/>
      <c r="U398" s="12"/>
    </row>
    <row r="399">
      <c r="A399" s="17"/>
      <c r="B399" s="19" t="s">
        <v>1464</v>
      </c>
      <c r="C399" s="8"/>
      <c r="D399" s="8" t="n">
        <v>3050</v>
      </c>
      <c r="E399" s="8" t="n">
        <v>4300</v>
      </c>
      <c r="F399" s="8" t="n">
        <v>4600</v>
      </c>
      <c r="G399" s="8" t="n">
        <v>3600</v>
      </c>
      <c r="H399" s="8" t="n">
        <v>6530</v>
      </c>
      <c r="I399" s="8" t="n">
        <v>1583</v>
      </c>
      <c r="J399" s="8" t="n">
        <v>704</v>
      </c>
      <c r="K399" s="8" t="n">
        <v>378</v>
      </c>
      <c r="L399" s="8" t="n">
        <v>92</v>
      </c>
      <c r="M399" s="12"/>
      <c r="N399" s="12"/>
      <c r="O399" s="12"/>
      <c r="P399" s="12"/>
      <c r="Q399" s="12"/>
      <c r="R399" s="12"/>
      <c r="S399" s="12"/>
      <c r="T399" s="12"/>
      <c r="U399" s="12"/>
    </row>
    <row r="400">
      <c r="A400" s="17"/>
      <c r="B400" s="19" t="s">
        <v>1465</v>
      </c>
      <c r="C400" s="8" t="n">
        <v>1622154</v>
      </c>
      <c r="D400" s="8" t="n">
        <v>24344</v>
      </c>
      <c r="E400" s="8" t="n">
        <v>38576</v>
      </c>
      <c r="F400" s="8" t="n">
        <v>215000</v>
      </c>
      <c r="G400" s="8" t="n">
        <v>112000</v>
      </c>
      <c r="H400" s="8" t="n">
        <v>113912</v>
      </c>
      <c r="I400" s="9" t="n">
        <v>936562</v>
      </c>
      <c r="J400" s="8" t="n">
        <v>113326</v>
      </c>
      <c r="K400" s="8" t="n">
        <v>359452</v>
      </c>
      <c r="L400" s="8" t="n">
        <v>84195</v>
      </c>
      <c r="M400" s="12"/>
      <c r="N400" s="12"/>
      <c r="O400" s="12"/>
      <c r="P400" s="12"/>
      <c r="Q400" s="12"/>
      <c r="R400" s="12"/>
      <c r="S400" s="12"/>
      <c r="T400" s="12"/>
      <c r="U400" s="12"/>
    </row>
    <row r="401">
      <c r="A401" s="4"/>
      <c r="B401" s="4"/>
      <c r="C401" s="4" t="s">
        <v>1466</v>
      </c>
      <c r="D401" s="4" t="s">
        <v>1467</v>
      </c>
      <c r="E401" s="4" t="s">
        <v>1468</v>
      </c>
      <c r="F401" s="4" t="s">
        <v>1469</v>
      </c>
      <c r="G401" s="4" t="s">
        <v>1470</v>
      </c>
      <c r="H401" s="4" t="s">
        <v>1471</v>
      </c>
      <c r="I401" s="4" t="s">
        <v>1472</v>
      </c>
      <c r="J401" s="4" t="s">
        <v>1473</v>
      </c>
      <c r="K401" s="4" t="s">
        <v>1474</v>
      </c>
      <c r="L401" s="4" t="s">
        <v>1475</v>
      </c>
      <c r="M401" s="12"/>
      <c r="N401" s="12"/>
      <c r="O401" s="12"/>
      <c r="P401" s="12"/>
      <c r="Q401" s="12"/>
      <c r="R401" s="12"/>
      <c r="S401" s="12"/>
      <c r="T401" s="12"/>
      <c r="U401" s="12"/>
    </row>
    <row r="402">
      <c r="A402" s="17" t="s">
        <v>1476</v>
      </c>
      <c r="B402" s="19" t="s">
        <v>1477</v>
      </c>
      <c r="C402" s="8" t="n">
        <v>42880</v>
      </c>
      <c r="D402" s="8" t="n">
        <v>197000</v>
      </c>
      <c r="E402" s="8" t="n">
        <v>184000</v>
      </c>
      <c r="F402" s="8" t="n">
        <v>373000</v>
      </c>
      <c r="G402" s="8" t="n">
        <v>141000</v>
      </c>
      <c r="H402" s="8" t="n">
        <v>326909</v>
      </c>
      <c r="I402" s="9" t="n">
        <v>120573</v>
      </c>
      <c r="J402" s="8" t="n">
        <v>42628</v>
      </c>
      <c r="K402" s="8" t="n">
        <v>120953</v>
      </c>
      <c r="L402" s="8" t="n">
        <v>19673</v>
      </c>
      <c r="M402" s="12"/>
      <c r="N402" s="12"/>
      <c r="O402" s="12"/>
      <c r="P402" s="12"/>
      <c r="Q402" s="12"/>
      <c r="R402" s="12"/>
      <c r="S402" s="12"/>
      <c r="T402" s="12"/>
      <c r="U402" s="12"/>
    </row>
    <row r="403">
      <c r="A403" s="17"/>
      <c r="B403" s="19" t="s">
        <v>1478</v>
      </c>
      <c r="C403" s="8"/>
      <c r="D403" s="8" t="n">
        <v>1320</v>
      </c>
      <c r="E403" s="8" t="n">
        <v>6153</v>
      </c>
      <c r="F403" s="8" t="n">
        <v>2941</v>
      </c>
      <c r="G403" s="8" t="n">
        <v>2731</v>
      </c>
      <c r="H403" s="8" t="n">
        <v>6832</v>
      </c>
      <c r="I403" s="8" t="n">
        <v>1117</v>
      </c>
      <c r="J403" s="8" t="n">
        <v>529</v>
      </c>
      <c r="K403" s="8" t="n">
        <v>438</v>
      </c>
      <c r="L403" s="8" t="n">
        <v>31</v>
      </c>
      <c r="M403" s="12"/>
      <c r="N403" s="12"/>
      <c r="O403" s="12"/>
      <c r="P403" s="12"/>
      <c r="Q403" s="12"/>
      <c r="R403" s="12"/>
      <c r="S403" s="12"/>
      <c r="T403" s="12"/>
      <c r="U403" s="12"/>
    </row>
    <row r="404">
      <c r="A404" s="17"/>
      <c r="B404" s="19" t="s">
        <v>1479</v>
      </c>
      <c r="C404" s="8" t="n">
        <v>1622293</v>
      </c>
      <c r="D404" s="8" t="n">
        <v>24262</v>
      </c>
      <c r="E404" s="8" t="n">
        <v>38098</v>
      </c>
      <c r="F404" s="8" t="n">
        <v>214000</v>
      </c>
      <c r="G404" s="8" t="n">
        <v>112000</v>
      </c>
      <c r="H404" s="8" t="n">
        <v>112000</v>
      </c>
      <c r="I404" s="9" t="n">
        <v>935952</v>
      </c>
      <c r="J404" s="8" t="n">
        <v>113079</v>
      </c>
      <c r="K404" s="8" t="n">
        <v>359169</v>
      </c>
      <c r="L404" s="8" t="n">
        <v>84164</v>
      </c>
      <c r="M404" s="12"/>
      <c r="N404" s="12"/>
      <c r="O404" s="12"/>
      <c r="P404" s="12"/>
      <c r="Q404" s="12"/>
      <c r="R404" s="12"/>
      <c r="S404" s="12"/>
      <c r="T404" s="12"/>
      <c r="U404" s="12"/>
    </row>
    <row r="405">
      <c r="A405" s="4"/>
      <c r="B405" s="4"/>
      <c r="C405" s="4" t="s">
        <v>1480</v>
      </c>
      <c r="D405" s="4" t="s">
        <v>1481</v>
      </c>
      <c r="E405" s="4" t="s">
        <v>1482</v>
      </c>
      <c r="F405" s="4" t="s">
        <v>1483</v>
      </c>
      <c r="G405" s="4" t="s">
        <v>1484</v>
      </c>
      <c r="H405" s="4" t="s">
        <v>1485</v>
      </c>
      <c r="I405" s="4" t="s">
        <v>1486</v>
      </c>
      <c r="J405" s="4" t="s">
        <v>1487</v>
      </c>
      <c r="K405" s="4" t="s">
        <v>1488</v>
      </c>
      <c r="L405" s="4" t="s">
        <v>1489</v>
      </c>
      <c r="M405" s="12"/>
      <c r="N405" s="12"/>
      <c r="O405" s="12"/>
      <c r="P405" s="12"/>
      <c r="Q405" s="12"/>
      <c r="R405" s="12"/>
      <c r="S405" s="12"/>
      <c r="T405" s="12"/>
      <c r="U405" s="12"/>
    </row>
    <row r="406">
      <c r="A406" s="17" t="s">
        <v>1490</v>
      </c>
      <c r="B406" s="19" t="s">
        <v>1491</v>
      </c>
      <c r="C406" s="8" t="n">
        <v>11358</v>
      </c>
      <c r="D406" s="8" t="n">
        <v>56000</v>
      </c>
      <c r="E406" s="8" t="n">
        <v>142000</v>
      </c>
      <c r="F406" s="8" t="n">
        <v>384000</v>
      </c>
      <c r="G406" s="8" t="n">
        <v>127000</v>
      </c>
      <c r="H406" s="8" t="n">
        <v>479859</v>
      </c>
      <c r="I406" s="9" t="n">
        <v>123069</v>
      </c>
      <c r="J406" s="8" t="n">
        <v>190036</v>
      </c>
      <c r="K406" s="8" t="n">
        <v>273165</v>
      </c>
      <c r="L406" s="8" t="n">
        <v>19784</v>
      </c>
      <c r="M406" s="12"/>
      <c r="N406" s="12"/>
      <c r="O406" s="12"/>
      <c r="P406" s="12"/>
      <c r="Q406" s="12"/>
      <c r="R406" s="12"/>
      <c r="S406" s="12"/>
      <c r="T406" s="12"/>
      <c r="U406" s="12"/>
    </row>
    <row r="407">
      <c r="A407" s="17"/>
      <c r="B407" s="19" t="s">
        <v>1492</v>
      </c>
      <c r="C407" s="8"/>
      <c r="D407" s="8" t="n">
        <v>421</v>
      </c>
      <c r="E407" s="8" t="n">
        <v>4326</v>
      </c>
      <c r="F407" s="8" t="n">
        <v>6643</v>
      </c>
      <c r="G407" s="8" t="n">
        <v>2732</v>
      </c>
      <c r="H407" s="8" t="n">
        <v>10729</v>
      </c>
      <c r="I407" s="8" t="n">
        <v>808</v>
      </c>
      <c r="J407" s="8" t="n">
        <v>1705</v>
      </c>
      <c r="K407" s="8" t="n">
        <v>2835</v>
      </c>
      <c r="L407" s="8" t="n">
        <v>24</v>
      </c>
      <c r="M407" s="12"/>
      <c r="N407" s="12"/>
      <c r="O407" s="12"/>
      <c r="P407" s="12"/>
      <c r="Q407" s="12"/>
      <c r="R407" s="12"/>
      <c r="S407" s="12"/>
      <c r="T407" s="12"/>
      <c r="U407" s="12"/>
    </row>
    <row r="408">
      <c r="A408" s="17"/>
      <c r="B408" s="19" t="s">
        <v>1493</v>
      </c>
      <c r="C408" s="8" t="n">
        <v>1622000</v>
      </c>
      <c r="D408" s="8" t="n">
        <v>24088</v>
      </c>
      <c r="E408" s="8" t="n">
        <v>37459</v>
      </c>
      <c r="F408" s="8" t="n">
        <v>214000</v>
      </c>
      <c r="G408" s="8" t="n">
        <v>111000</v>
      </c>
      <c r="H408" s="8" t="n">
        <v>111000</v>
      </c>
      <c r="I408" s="9" t="n">
        <v>935353</v>
      </c>
      <c r="J408" s="8" t="n">
        <v>112919</v>
      </c>
      <c r="K408" s="8" t="n">
        <v>359126</v>
      </c>
      <c r="L408" s="8" t="n">
        <v>84100</v>
      </c>
      <c r="M408" s="12"/>
      <c r="N408" s="12"/>
      <c r="O408" s="12"/>
      <c r="P408" s="12"/>
      <c r="Q408" s="12"/>
      <c r="R408" s="12"/>
      <c r="S408" s="12"/>
      <c r="T408" s="12"/>
      <c r="U408" s="12"/>
    </row>
    <row r="409">
      <c r="A409" s="4"/>
      <c r="B409" s="4"/>
      <c r="C409" s="4" t="s">
        <v>1494</v>
      </c>
      <c r="D409" s="4" t="s">
        <v>1495</v>
      </c>
      <c r="E409" s="4" t="s">
        <v>1496</v>
      </c>
      <c r="F409" s="4" t="s">
        <v>1497</v>
      </c>
      <c r="G409" s="4" t="s">
        <v>1498</v>
      </c>
      <c r="H409" s="4" t="s">
        <v>1499</v>
      </c>
      <c r="I409" s="4" t="s">
        <v>1500</v>
      </c>
      <c r="J409" s="4" t="s">
        <v>1501</v>
      </c>
      <c r="K409" s="4" t="s">
        <v>1502</v>
      </c>
      <c r="L409" s="4" t="s">
        <v>1503</v>
      </c>
      <c r="M409" s="12"/>
      <c r="N409" s="12"/>
      <c r="O409" s="12"/>
      <c r="P409" s="12"/>
      <c r="Q409" s="12"/>
      <c r="R409" s="12"/>
      <c r="S409" s="12"/>
      <c r="T409" s="12"/>
      <c r="U409" s="12"/>
    </row>
    <row r="410">
      <c r="A410" s="17" t="s">
        <v>1504</v>
      </c>
      <c r="B410" s="19" t="s">
        <v>1505</v>
      </c>
      <c r="C410" s="8" t="n">
        <v>25327</v>
      </c>
      <c r="D410" s="8" t="n">
        <v>40000</v>
      </c>
      <c r="E410" s="8" t="n">
        <v>161000</v>
      </c>
      <c r="F410" s="8" t="n">
        <v>241000</v>
      </c>
      <c r="G410" s="8" t="n">
        <v>136000</v>
      </c>
      <c r="H410" s="8" t="n">
        <v>614164</v>
      </c>
      <c r="I410" s="9" t="n">
        <v>58224</v>
      </c>
      <c r="J410" s="8" t="n">
        <v>67010</v>
      </c>
      <c r="K410" s="8" t="n">
        <v>78907</v>
      </c>
      <c r="L410" s="8" t="n">
        <v>8493</v>
      </c>
      <c r="M410" s="12"/>
      <c r="N410" s="12"/>
      <c r="O410" s="12"/>
      <c r="P410" s="12"/>
      <c r="Q410" s="12"/>
      <c r="R410" s="12"/>
      <c r="S410" s="12"/>
      <c r="T410" s="12"/>
      <c r="U410" s="12"/>
    </row>
    <row r="411">
      <c r="A411" s="17"/>
      <c r="B411" s="19" t="s">
        <v>1506</v>
      </c>
      <c r="C411" s="8"/>
      <c r="D411" s="8" t="n">
        <v>719</v>
      </c>
      <c r="E411" s="8" t="n">
        <v>5549</v>
      </c>
      <c r="F411" s="8" t="n">
        <v>2842</v>
      </c>
      <c r="G411" s="8" t="n">
        <v>2469</v>
      </c>
      <c r="H411" s="8" t="n">
        <v>12800</v>
      </c>
      <c r="I411" s="8" t="n">
        <v>669</v>
      </c>
      <c r="J411" s="8" t="n">
        <v>1365</v>
      </c>
      <c r="K411" s="8" t="n">
        <v>457</v>
      </c>
      <c r="L411" s="8" t="n">
        <v>55</v>
      </c>
      <c r="M411" s="12"/>
      <c r="N411" s="12"/>
      <c r="O411" s="12"/>
      <c r="P411" s="12"/>
      <c r="Q411" s="12"/>
      <c r="R411" s="12"/>
      <c r="S411" s="12"/>
      <c r="T411" s="12"/>
      <c r="U411" s="12"/>
    </row>
    <row r="412">
      <c r="A412" s="17"/>
      <c r="B412" s="19" t="s">
        <v>1507</v>
      </c>
      <c r="C412" s="8" t="n">
        <v>1622548</v>
      </c>
      <c r="D412" s="8" t="n">
        <v>24082</v>
      </c>
      <c r="E412" s="8" t="n">
        <v>36928</v>
      </c>
      <c r="F412" s="8" t="n">
        <v>213000</v>
      </c>
      <c r="G412" s="8" t="n">
        <v>111000</v>
      </c>
      <c r="H412" s="8" t="n">
        <v>109000</v>
      </c>
      <c r="I412" s="9" t="n">
        <v>934577</v>
      </c>
      <c r="J412" s="8" t="n">
        <v>112573</v>
      </c>
      <c r="K412" s="8" t="n">
        <v>358823</v>
      </c>
      <c r="L412" s="8" t="n">
        <v>84051</v>
      </c>
      <c r="M412" s="12"/>
      <c r="N412" s="12"/>
      <c r="O412" s="12"/>
      <c r="P412" s="12"/>
      <c r="Q412" s="12"/>
      <c r="R412" s="12"/>
      <c r="S412" s="12"/>
      <c r="T412" s="12"/>
      <c r="U412" s="12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12"/>
      <c r="N413" s="12"/>
      <c r="O413" s="12"/>
      <c r="P413" s="12"/>
      <c r="Q413" s="12"/>
      <c r="R413" s="12"/>
      <c r="S413" s="12"/>
      <c r="T413" s="12"/>
      <c r="U413" s="12"/>
    </row>
    <row r="414">
      <c r="A414" s="4"/>
      <c r="B414" s="4"/>
      <c r="C414" s="4" t="s">
        <v>1508</v>
      </c>
      <c r="D414" s="4" t="s">
        <v>1509</v>
      </c>
      <c r="E414" s="4" t="s">
        <v>1510</v>
      </c>
      <c r="F414" s="4" t="s">
        <v>1511</v>
      </c>
      <c r="G414" s="4" t="s">
        <v>1512</v>
      </c>
      <c r="H414" s="4" t="s">
        <v>1513</v>
      </c>
      <c r="I414" s="4" t="s">
        <v>1514</v>
      </c>
      <c r="J414" s="4" t="s">
        <v>1515</v>
      </c>
      <c r="K414" s="4" t="s">
        <v>1516</v>
      </c>
      <c r="L414" s="4" t="s">
        <v>1517</v>
      </c>
      <c r="M414" s="12"/>
      <c r="N414" s="12"/>
      <c r="O414" s="12"/>
      <c r="P414" s="12"/>
      <c r="Q414" s="12"/>
      <c r="R414" s="12"/>
      <c r="S414" s="12"/>
      <c r="T414" s="12"/>
      <c r="U414" s="12"/>
    </row>
    <row r="415">
      <c r="A415" s="17" t="s">
        <v>1518</v>
      </c>
      <c r="B415" s="19" t="s">
        <v>1519</v>
      </c>
      <c r="C415" s="8" t="n">
        <v>22071</v>
      </c>
      <c r="D415" s="8" t="n">
        <v>63000</v>
      </c>
      <c r="E415" s="8" t="n">
        <v>192000</v>
      </c>
      <c r="F415" s="8" t="n">
        <v>222000</v>
      </c>
      <c r="G415" s="8" t="n">
        <v>187000</v>
      </c>
      <c r="H415" s="8" t="n">
        <v>1120000</v>
      </c>
      <c r="I415" s="9" t="n">
        <v>87969</v>
      </c>
      <c r="J415" s="8" t="n">
        <v>63700</v>
      </c>
      <c r="K415" s="8" t="n">
        <v>63125</v>
      </c>
      <c r="L415" s="8" t="n">
        <v>11612</v>
      </c>
      <c r="M415" s="12"/>
      <c r="N415" s="12"/>
      <c r="O415" s="12"/>
      <c r="P415" s="12"/>
      <c r="Q415" s="12"/>
      <c r="R415" s="12"/>
      <c r="S415" s="12"/>
      <c r="T415" s="12"/>
      <c r="U415" s="12"/>
    </row>
    <row r="416">
      <c r="A416" s="17"/>
      <c r="B416" s="19" t="s">
        <v>1520</v>
      </c>
      <c r="C416" s="41"/>
      <c r="D416" s="8" t="n">
        <v>1630</v>
      </c>
      <c r="E416" s="8" t="n">
        <v>7854</v>
      </c>
      <c r="F416" s="8" t="n">
        <v>3818</v>
      </c>
      <c r="G416" s="8" t="n">
        <v>3542</v>
      </c>
      <c r="H416" s="8" t="n">
        <v>24500</v>
      </c>
      <c r="I416" s="8" t="n">
        <v>1006</v>
      </c>
      <c r="J416" s="8" t="n">
        <v>1550</v>
      </c>
      <c r="K416" s="8" t="n">
        <v>645</v>
      </c>
      <c r="L416" s="8" t="n">
        <v>72</v>
      </c>
      <c r="M416" s="12"/>
      <c r="N416" s="12"/>
      <c r="O416" s="12"/>
      <c r="P416" s="12"/>
      <c r="Q416" s="12"/>
      <c r="R416" s="12"/>
      <c r="S416" s="12"/>
      <c r="T416" s="12"/>
      <c r="U416" s="12"/>
    </row>
    <row r="417">
      <c r="A417" s="17"/>
      <c r="B417" s="19" t="s">
        <v>1521</v>
      </c>
      <c r="C417" s="8" t="n">
        <v>1622751</v>
      </c>
      <c r="D417" s="8" t="n">
        <v>24075</v>
      </c>
      <c r="E417" s="8" t="n">
        <v>36278</v>
      </c>
      <c r="F417" s="8" t="n">
        <v>213000</v>
      </c>
      <c r="G417" s="8" t="n">
        <v>111000</v>
      </c>
      <c r="H417" s="8" t="n">
        <v>107000</v>
      </c>
      <c r="I417" s="9" t="n">
        <v>934060</v>
      </c>
      <c r="J417" s="8" t="n">
        <v>112300</v>
      </c>
      <c r="K417" s="8" t="n">
        <v>358696</v>
      </c>
      <c r="L417" s="8" t="n">
        <v>83986</v>
      </c>
      <c r="M417" s="12"/>
      <c r="N417" s="12"/>
      <c r="O417" s="12"/>
      <c r="P417" s="12"/>
      <c r="Q417" s="12"/>
      <c r="R417" s="12"/>
      <c r="S417" s="12"/>
      <c r="T417" s="12"/>
      <c r="U417" s="12"/>
    </row>
    <row r="418">
      <c r="A418" s="4"/>
      <c r="B418" s="4"/>
      <c r="C418" s="4" t="s">
        <v>1522</v>
      </c>
      <c r="D418" s="4" t="s">
        <v>1523</v>
      </c>
      <c r="E418" s="4" t="s">
        <v>1524</v>
      </c>
      <c r="F418" s="4" t="s">
        <v>1525</v>
      </c>
      <c r="G418" s="4" t="s">
        <v>1526</v>
      </c>
      <c r="H418" s="4" t="s">
        <v>1527</v>
      </c>
      <c r="I418" s="4" t="s">
        <v>1528</v>
      </c>
      <c r="J418" s="4" t="s">
        <v>1529</v>
      </c>
      <c r="K418" s="4" t="s">
        <v>1530</v>
      </c>
      <c r="L418" s="4" t="s">
        <v>1531</v>
      </c>
      <c r="M418" s="12"/>
      <c r="N418" s="12"/>
      <c r="O418" s="12"/>
      <c r="P418" s="12"/>
      <c r="Q418" s="12"/>
      <c r="R418" s="12"/>
      <c r="S418" s="12"/>
      <c r="T418" s="12"/>
      <c r="U418" s="12"/>
    </row>
    <row r="419">
      <c r="A419" s="17" t="s">
        <v>1532</v>
      </c>
      <c r="B419" s="19" t="s">
        <v>1533</v>
      </c>
      <c r="C419" s="8" t="n">
        <v>23547</v>
      </c>
      <c r="D419" s="8" t="n">
        <v>27000</v>
      </c>
      <c r="E419" s="8" t="n">
        <v>140000</v>
      </c>
      <c r="F419" s="8" t="n">
        <v>152000</v>
      </c>
      <c r="G419" s="8" t="n">
        <v>204000</v>
      </c>
      <c r="H419" s="8" t="n">
        <v>100632</v>
      </c>
      <c r="I419" s="42" t="n">
        <v>100856</v>
      </c>
      <c r="J419" s="42" t="n">
        <v>109433</v>
      </c>
      <c r="K419" s="42" t="n">
        <v>314428</v>
      </c>
      <c r="L419" s="42" t="n">
        <v>11821</v>
      </c>
      <c r="M419" s="12"/>
      <c r="N419" s="12"/>
      <c r="O419" s="12"/>
      <c r="P419" s="12"/>
      <c r="Q419" s="12"/>
      <c r="R419" s="12"/>
      <c r="S419" s="12"/>
      <c r="T419" s="12"/>
      <c r="U419" s="12"/>
    </row>
    <row r="420">
      <c r="A420" s="17"/>
      <c r="B420" s="19" t="s">
        <v>1534</v>
      </c>
      <c r="C420" s="8"/>
      <c r="D420" s="8" t="n">
        <v>680</v>
      </c>
      <c r="E420" s="8" t="n">
        <v>4800</v>
      </c>
      <c r="F420" s="8" t="n">
        <v>2100</v>
      </c>
      <c r="G420" s="8" t="n">
        <v>4768</v>
      </c>
      <c r="H420" s="8" t="n">
        <v>2800</v>
      </c>
      <c r="I420" s="42" t="n">
        <v>1091</v>
      </c>
      <c r="J420" s="42" t="n">
        <v>1779</v>
      </c>
      <c r="K420" s="42" t="n">
        <v>2607</v>
      </c>
      <c r="L420" s="42" t="n">
        <v>121</v>
      </c>
      <c r="M420" s="12"/>
      <c r="N420" s="12"/>
      <c r="O420" s="12"/>
      <c r="P420" s="12"/>
      <c r="Q420" s="12"/>
      <c r="R420" s="12"/>
      <c r="S420" s="12"/>
      <c r="T420" s="12"/>
      <c r="U420" s="12"/>
    </row>
    <row r="421">
      <c r="A421" s="17"/>
      <c r="B421" s="19" t="s">
        <v>1535</v>
      </c>
      <c r="C421" s="8" t="n">
        <v>1622933</v>
      </c>
      <c r="D421" s="8" t="n">
        <v>24034</v>
      </c>
      <c r="E421" s="8" t="n">
        <v>35690</v>
      </c>
      <c r="F421" s="8" t="n">
        <v>213000</v>
      </c>
      <c r="G421" s="8" t="n">
        <v>110000</v>
      </c>
      <c r="H421" s="8" t="n">
        <v>103000</v>
      </c>
      <c r="I421" s="42" t="n">
        <v>933338</v>
      </c>
      <c r="J421" s="42" t="n">
        <v>111839</v>
      </c>
      <c r="K421" s="42" t="n">
        <v>358433</v>
      </c>
      <c r="L421" s="42" t="n">
        <v>83925</v>
      </c>
      <c r="M421" s="12"/>
      <c r="N421" s="12"/>
      <c r="O421" s="12"/>
      <c r="P421" s="12"/>
      <c r="Q421" s="12"/>
      <c r="R421" s="12"/>
      <c r="S421" s="12"/>
      <c r="T421" s="12"/>
      <c r="U421" s="12"/>
    </row>
    <row r="422">
      <c r="A422" s="4"/>
      <c r="B422" s="4"/>
      <c r="C422" s="4" t="s">
        <v>1536</v>
      </c>
      <c r="D422" s="4" t="s">
        <v>1537</v>
      </c>
      <c r="E422" s="4" t="s">
        <v>1538</v>
      </c>
      <c r="F422" s="4" t="s">
        <v>1539</v>
      </c>
      <c r="G422" s="4" t="s">
        <v>1540</v>
      </c>
      <c r="H422" s="4" t="s">
        <v>1541</v>
      </c>
      <c r="I422" s="4" t="s">
        <v>1542</v>
      </c>
      <c r="J422" s="4" t="s">
        <v>1543</v>
      </c>
      <c r="K422" s="4" t="s">
        <v>1544</v>
      </c>
      <c r="L422" s="4" t="s">
        <v>1545</v>
      </c>
      <c r="M422" s="12"/>
      <c r="N422" s="12"/>
      <c r="O422" s="12"/>
      <c r="P422" s="12"/>
      <c r="Q422" s="12"/>
      <c r="R422" s="12"/>
      <c r="S422" s="12"/>
      <c r="T422" s="12"/>
      <c r="U422" s="12"/>
    </row>
    <row r="423">
      <c r="A423" s="17" t="s">
        <v>1546</v>
      </c>
      <c r="B423" s="19" t="s">
        <v>1547</v>
      </c>
      <c r="C423" s="8" t="n">
        <v>20894</v>
      </c>
      <c r="D423" s="8" t="n">
        <v>42000</v>
      </c>
      <c r="E423" s="8" t="n">
        <v>125000</v>
      </c>
      <c r="F423" s="8" t="n">
        <v>232000</v>
      </c>
      <c r="G423" s="8" t="n">
        <v>286000</v>
      </c>
      <c r="H423" s="8" t="n">
        <v>89458</v>
      </c>
      <c r="I423" s="42" t="n">
        <v>114422</v>
      </c>
      <c r="J423" s="42" t="n">
        <v>70538</v>
      </c>
      <c r="K423" s="42" t="n">
        <v>69354</v>
      </c>
      <c r="L423" s="42" t="n">
        <v>39804</v>
      </c>
      <c r="M423" s="12"/>
      <c r="N423" s="12"/>
      <c r="O423" s="12"/>
      <c r="P423" s="12"/>
      <c r="Q423" s="12"/>
      <c r="R423" s="12"/>
      <c r="S423" s="12"/>
      <c r="T423" s="12"/>
      <c r="U423" s="12"/>
    </row>
    <row r="424">
      <c r="A424" s="17"/>
      <c r="B424" s="19" t="s">
        <v>1548</v>
      </c>
      <c r="C424" s="8"/>
      <c r="D424" s="8" t="n">
        <v>1326</v>
      </c>
      <c r="E424" s="8" t="n">
        <v>7593</v>
      </c>
      <c r="F424" s="8" t="n">
        <v>3342</v>
      </c>
      <c r="G424" s="8" t="n">
        <v>6500</v>
      </c>
      <c r="H424" s="8" t="n">
        <v>3250</v>
      </c>
      <c r="I424" s="42" t="n">
        <v>1242</v>
      </c>
      <c r="J424" s="42" t="n">
        <v>1555</v>
      </c>
      <c r="K424" s="42" t="n">
        <v>702</v>
      </c>
      <c r="L424" s="42" t="n">
        <v>381</v>
      </c>
      <c r="M424" s="12"/>
      <c r="N424" s="12"/>
      <c r="O424" s="12"/>
      <c r="P424" s="12"/>
      <c r="Q424" s="12"/>
      <c r="R424" s="12"/>
      <c r="S424" s="12"/>
      <c r="T424" s="12"/>
      <c r="U424" s="12"/>
    </row>
    <row r="425">
      <c r="A425" s="17"/>
      <c r="B425" s="19" t="s">
        <v>1549</v>
      </c>
      <c r="C425" s="8" t="n">
        <v>1623157</v>
      </c>
      <c r="D425" s="8" t="n">
        <v>24020</v>
      </c>
      <c r="E425" s="8" t="n">
        <v>35192</v>
      </c>
      <c r="F425" s="8" t="n">
        <v>212000</v>
      </c>
      <c r="G425" s="8" t="n">
        <v>110000</v>
      </c>
      <c r="H425" s="8" t="n">
        <v>102000</v>
      </c>
      <c r="I425" s="42" t="n">
        <v>932501</v>
      </c>
      <c r="J425" s="42" t="n">
        <v>111328</v>
      </c>
      <c r="K425" s="42" t="n">
        <v>358245</v>
      </c>
      <c r="L425" s="42" t="n">
        <v>83839</v>
      </c>
      <c r="M425" s="12"/>
      <c r="N425" s="12"/>
      <c r="O425" s="12"/>
      <c r="P425" s="12"/>
      <c r="Q425" s="12"/>
      <c r="R425" s="12"/>
      <c r="S425" s="12"/>
      <c r="T425" s="12"/>
      <c r="U425" s="12"/>
    </row>
    <row r="426">
      <c r="A426" s="4"/>
      <c r="B426" s="4"/>
      <c r="C426" s="4" t="s">
        <v>1550</v>
      </c>
      <c r="D426" s="4" t="s">
        <v>1551</v>
      </c>
      <c r="E426" s="4" t="s">
        <v>1552</v>
      </c>
      <c r="F426" s="4" t="s">
        <v>1553</v>
      </c>
      <c r="G426" s="4" t="s">
        <v>1554</v>
      </c>
      <c r="H426" s="4" t="s">
        <v>1555</v>
      </c>
      <c r="I426" s="4" t="s">
        <v>1556</v>
      </c>
      <c r="J426" s="4" t="s">
        <v>1557</v>
      </c>
      <c r="K426" s="4" t="s">
        <v>1558</v>
      </c>
      <c r="L426" s="4" t="s">
        <v>1559</v>
      </c>
      <c r="M426" s="12"/>
      <c r="N426" s="12"/>
      <c r="O426" s="12"/>
      <c r="P426" s="12"/>
      <c r="Q426" s="12"/>
      <c r="R426" s="12"/>
      <c r="S426" s="12"/>
      <c r="T426" s="12"/>
      <c r="U426" s="12"/>
    </row>
    <row r="427">
      <c r="A427" s="17" t="s">
        <v>1560</v>
      </c>
      <c r="B427" s="19" t="s">
        <v>1561</v>
      </c>
      <c r="C427" s="8" t="n">
        <v>30082</v>
      </c>
      <c r="D427" s="8" t="n">
        <v>67000</v>
      </c>
      <c r="E427" s="8" t="n">
        <v>130000</v>
      </c>
      <c r="F427" s="8" t="n">
        <v>205000</v>
      </c>
      <c r="G427" s="8" t="n">
        <v>157000</v>
      </c>
      <c r="H427" s="8" t="n">
        <v>73623</v>
      </c>
      <c r="I427" s="42" t="n">
        <v>106675</v>
      </c>
      <c r="J427" s="42" t="n">
        <v>58408</v>
      </c>
      <c r="K427" s="42" t="n">
        <v>55740</v>
      </c>
      <c r="L427" s="42" t="n">
        <v>13982</v>
      </c>
      <c r="M427" s="12"/>
      <c r="N427" s="12"/>
      <c r="O427" s="12"/>
      <c r="P427" s="12"/>
      <c r="Q427" s="12"/>
      <c r="R427" s="12"/>
      <c r="S427" s="12"/>
      <c r="T427" s="12"/>
      <c r="U427" s="12"/>
    </row>
    <row r="428">
      <c r="A428" s="17"/>
      <c r="B428" s="19" t="s">
        <v>1562</v>
      </c>
      <c r="C428" s="8"/>
      <c r="D428" s="8" t="n">
        <v>1400</v>
      </c>
      <c r="E428" s="8" t="n">
        <v>4156</v>
      </c>
      <c r="F428" s="8" t="n">
        <v>3042</v>
      </c>
      <c r="G428" s="8" t="n">
        <v>5000</v>
      </c>
      <c r="H428" s="8" t="n">
        <v>2900</v>
      </c>
      <c r="I428" s="42" t="n">
        <v>986</v>
      </c>
      <c r="J428" s="42" t="n">
        <v>1236</v>
      </c>
      <c r="K428" s="42" t="n">
        <v>682</v>
      </c>
      <c r="L428" s="42" t="n">
        <v>110</v>
      </c>
      <c r="M428" s="12"/>
      <c r="N428" s="12"/>
      <c r="O428" s="12"/>
      <c r="P428" s="12"/>
      <c r="Q428" s="12"/>
      <c r="R428" s="12"/>
      <c r="S428" s="12"/>
      <c r="T428" s="12"/>
      <c r="U428" s="12"/>
    </row>
    <row r="429">
      <c r="A429" s="17"/>
      <c r="B429" s="19" t="s">
        <v>1563</v>
      </c>
      <c r="C429" s="8" t="n">
        <v>1623303</v>
      </c>
      <c r="D429" s="8" t="n">
        <v>23933</v>
      </c>
      <c r="E429" s="8" t="n">
        <v>34015</v>
      </c>
      <c r="F429" s="8" t="n">
        <v>212000</v>
      </c>
      <c r="G429" s="8" t="n">
        <v>109000</v>
      </c>
      <c r="H429" s="8" t="n">
        <v>102000</v>
      </c>
      <c r="I429" s="42" t="n">
        <v>931007</v>
      </c>
      <c r="J429" s="42" t="n">
        <v>110778</v>
      </c>
      <c r="K429" s="42" t="n">
        <v>358109</v>
      </c>
      <c r="L429" s="42" t="n">
        <v>83674</v>
      </c>
      <c r="M429" s="12"/>
      <c r="N429" s="12"/>
      <c r="O429" s="12"/>
      <c r="P429" s="12"/>
      <c r="Q429" s="12"/>
      <c r="R429" s="12"/>
      <c r="S429" s="12"/>
      <c r="T429" s="12"/>
      <c r="U429" s="12"/>
    </row>
    <row r="430">
      <c r="A430" s="4"/>
      <c r="B430" s="4"/>
      <c r="C430" s="4" t="s">
        <v>1564</v>
      </c>
      <c r="D430" s="4" t="s">
        <v>1565</v>
      </c>
      <c r="E430" s="4" t="s">
        <v>1566</v>
      </c>
      <c r="F430" s="4" t="s">
        <v>1567</v>
      </c>
      <c r="G430" s="4" t="s">
        <v>1568</v>
      </c>
      <c r="H430" s="4" t="s">
        <v>1569</v>
      </c>
      <c r="I430" s="4" t="s">
        <v>1570</v>
      </c>
      <c r="J430" s="4" t="s">
        <v>1571</v>
      </c>
      <c r="K430" s="4" t="s">
        <v>1572</v>
      </c>
      <c r="L430" s="4" t="s">
        <v>1573</v>
      </c>
      <c r="M430" s="12"/>
      <c r="N430" s="12"/>
      <c r="O430" s="12"/>
      <c r="P430" s="12"/>
      <c r="Q430" s="12"/>
      <c r="R430" s="12"/>
      <c r="S430" s="12"/>
      <c r="T430" s="12"/>
      <c r="U430" s="12"/>
    </row>
    <row r="431">
      <c r="A431" s="17" t="s">
        <v>1574</v>
      </c>
      <c r="B431" s="19" t="s">
        <v>1575</v>
      </c>
      <c r="C431" s="8" t="n">
        <v>23133</v>
      </c>
      <c r="D431" s="8" t="n">
        <v>75000</v>
      </c>
      <c r="E431" s="8" t="n">
        <v>101000</v>
      </c>
      <c r="F431" s="8" t="n">
        <v>229000</v>
      </c>
      <c r="G431" s="8" t="n">
        <v>174000</v>
      </c>
      <c r="H431" s="8" t="n">
        <v>135410</v>
      </c>
      <c r="I431" s="42" t="n">
        <v>143605</v>
      </c>
      <c r="J431" s="42" t="n">
        <v>60254</v>
      </c>
      <c r="K431" s="42" t="n">
        <v>100440</v>
      </c>
      <c r="L431" s="42" t="n">
        <v>13867</v>
      </c>
      <c r="M431" s="12"/>
      <c r="N431" s="12"/>
      <c r="O431" s="12"/>
      <c r="P431" s="12"/>
      <c r="Q431" s="12"/>
      <c r="R431" s="12"/>
      <c r="S431" s="12"/>
      <c r="T431" s="12"/>
      <c r="U431" s="12"/>
    </row>
    <row r="432">
      <c r="A432" s="17"/>
      <c r="B432" s="19" t="s">
        <v>1576</v>
      </c>
      <c r="C432" s="8"/>
      <c r="D432" s="8" t="n">
        <v>1506</v>
      </c>
      <c r="E432" s="8" t="n">
        <v>3770</v>
      </c>
      <c r="F432" s="8" t="n">
        <v>3170</v>
      </c>
      <c r="G432" s="8" t="n">
        <v>5770</v>
      </c>
      <c r="H432" s="8" t="n">
        <v>6600</v>
      </c>
      <c r="I432" s="42" t="n">
        <v>1359</v>
      </c>
      <c r="J432" s="42" t="n">
        <v>934</v>
      </c>
      <c r="K432" s="42" t="n">
        <v>1178</v>
      </c>
      <c r="L432" s="42" t="n">
        <v>122</v>
      </c>
      <c r="M432" s="12"/>
      <c r="N432" s="12"/>
      <c r="O432" s="12"/>
      <c r="P432" s="12"/>
      <c r="Q432" s="12"/>
      <c r="R432" s="12"/>
      <c r="S432" s="12"/>
      <c r="T432" s="12"/>
      <c r="U432" s="12"/>
    </row>
    <row r="433">
      <c r="A433" s="17"/>
      <c r="B433" s="19" t="s">
        <v>1577</v>
      </c>
      <c r="C433" s="8" t="n">
        <v>1623479</v>
      </c>
      <c r="D433" s="8" t="n">
        <v>23557</v>
      </c>
      <c r="E433" s="8" t="n">
        <v>32968</v>
      </c>
      <c r="F433" s="8" t="n">
        <v>212000</v>
      </c>
      <c r="G433" s="8" t="n">
        <v>108000</v>
      </c>
      <c r="H433" s="8" t="n">
        <v>101000</v>
      </c>
      <c r="I433" s="42" t="n">
        <v>929469</v>
      </c>
      <c r="J433" s="42" t="n">
        <v>110101</v>
      </c>
      <c r="K433" s="42" t="n">
        <v>357586</v>
      </c>
      <c r="L433" s="42" t="n">
        <v>83592</v>
      </c>
      <c r="M433" s="12"/>
      <c r="N433" s="12"/>
      <c r="O433" s="12"/>
      <c r="P433" s="12"/>
      <c r="Q433" s="12"/>
      <c r="R433" s="12"/>
      <c r="S433" s="12"/>
      <c r="T433" s="12"/>
      <c r="U433" s="12"/>
    </row>
    <row r="434">
      <c r="A434" s="4"/>
      <c r="B434" s="4"/>
      <c r="C434" s="4" t="s">
        <v>1578</v>
      </c>
      <c r="D434" s="4" t="s">
        <v>1579</v>
      </c>
      <c r="E434" s="4" t="s">
        <v>1580</v>
      </c>
      <c r="F434" s="4" t="s">
        <v>1581</v>
      </c>
      <c r="G434" s="4" t="s">
        <v>1582</v>
      </c>
      <c r="H434" s="4" t="s">
        <v>1583</v>
      </c>
      <c r="I434" s="4" t="s">
        <v>1584</v>
      </c>
      <c r="J434" s="4" t="s">
        <v>1585</v>
      </c>
      <c r="K434" s="4" t="s">
        <v>1586</v>
      </c>
      <c r="L434" s="4" t="s">
        <v>1587</v>
      </c>
      <c r="M434" s="12"/>
      <c r="N434" s="12"/>
      <c r="O434" s="12"/>
      <c r="P434" s="12"/>
      <c r="Q434" s="12"/>
      <c r="R434" s="12"/>
      <c r="S434" s="12"/>
      <c r="T434" s="12"/>
      <c r="U434" s="12"/>
    </row>
    <row r="435">
      <c r="A435" s="17" t="s">
        <v>1588</v>
      </c>
      <c r="B435" s="19" t="s">
        <v>1589</v>
      </c>
      <c r="C435" s="8" t="n">
        <v>250405</v>
      </c>
      <c r="D435" s="8" t="n">
        <v>136000</v>
      </c>
      <c r="E435" s="8" t="n">
        <v>161000</v>
      </c>
      <c r="F435" s="8" t="n">
        <v>264000</v>
      </c>
      <c r="G435" s="8" t="n">
        <v>726000</v>
      </c>
      <c r="H435" s="8" t="n">
        <v>394388</v>
      </c>
      <c r="I435" s="42" t="n">
        <v>162012</v>
      </c>
      <c r="J435" s="42" t="n">
        <v>103852</v>
      </c>
      <c r="K435" s="42" t="n">
        <v>110232</v>
      </c>
      <c r="L435" s="42" t="n">
        <v>13736</v>
      </c>
      <c r="M435" s="12"/>
      <c r="N435" s="12"/>
      <c r="O435" s="12"/>
      <c r="P435" s="12"/>
      <c r="Q435" s="12"/>
      <c r="R435" s="12"/>
      <c r="S435" s="12"/>
      <c r="T435" s="12"/>
      <c r="U435" s="12"/>
    </row>
    <row r="436">
      <c r="A436" s="17"/>
      <c r="B436" s="19" t="s">
        <v>1590</v>
      </c>
      <c r="C436" s="8"/>
      <c r="D436" s="8" t="n">
        <v>3670</v>
      </c>
      <c r="E436" s="8" t="n">
        <v>5800</v>
      </c>
      <c r="F436" s="8" t="n">
        <v>4170</v>
      </c>
      <c r="G436" s="8" t="n">
        <v>29000</v>
      </c>
      <c r="H436" s="8" t="n">
        <v>23000</v>
      </c>
      <c r="I436" s="42" t="n">
        <v>1409</v>
      </c>
      <c r="J436" s="42" t="n">
        <v>3072</v>
      </c>
      <c r="K436" s="42" t="n">
        <v>1936</v>
      </c>
      <c r="L436" s="42" t="n">
        <v>96</v>
      </c>
      <c r="M436" s="12"/>
      <c r="N436" s="12"/>
      <c r="O436" s="12"/>
      <c r="P436" s="12"/>
      <c r="Q436" s="12"/>
      <c r="R436" s="12"/>
      <c r="S436" s="12"/>
      <c r="T436" s="12"/>
      <c r="U436" s="12"/>
    </row>
    <row r="437">
      <c r="A437" s="17"/>
      <c r="B437" s="19" t="s">
        <v>1591</v>
      </c>
      <c r="C437" s="8" t="n">
        <v>1623625</v>
      </c>
      <c r="D437" s="8" t="n">
        <v>23081</v>
      </c>
      <c r="E437" s="8" t="n">
        <v>32254</v>
      </c>
      <c r="F437" s="8" t="n">
        <v>211000</v>
      </c>
      <c r="G437" s="8" t="n">
        <v>108000</v>
      </c>
      <c r="H437" s="8" t="n">
        <v>99000</v>
      </c>
      <c r="I437" s="42" t="n">
        <v>928000</v>
      </c>
      <c r="J437" s="42" t="n">
        <v>109000</v>
      </c>
      <c r="K437" s="42" t="n">
        <v>357400</v>
      </c>
      <c r="L437" s="42" t="n">
        <v>835000</v>
      </c>
      <c r="M437" s="12"/>
      <c r="N437" s="12"/>
      <c r="O437" s="12"/>
      <c r="P437" s="12"/>
      <c r="Q437" s="12"/>
      <c r="R437" s="12"/>
      <c r="S437" s="12"/>
      <c r="T437" s="12"/>
      <c r="U437" s="12"/>
    </row>
    <row r="438">
      <c r="A438" s="4"/>
      <c r="B438" s="4"/>
      <c r="C438" s="4" t="s">
        <v>1592</v>
      </c>
      <c r="D438" s="4" t="s">
        <v>1593</v>
      </c>
      <c r="E438" s="4" t="s">
        <v>1594</v>
      </c>
      <c r="F438" s="4" t="s">
        <v>1595</v>
      </c>
      <c r="G438" s="4" t="s">
        <v>1596</v>
      </c>
      <c r="H438" s="4" t="s">
        <v>1597</v>
      </c>
      <c r="I438" s="4" t="s">
        <v>1598</v>
      </c>
      <c r="J438" s="4" t="s">
        <v>1599</v>
      </c>
      <c r="K438" s="4" t="s">
        <v>1600</v>
      </c>
      <c r="L438" s="4" t="s">
        <v>1601</v>
      </c>
      <c r="M438" s="12"/>
      <c r="N438" s="12"/>
      <c r="O438" s="12"/>
      <c r="P438" s="12"/>
      <c r="Q438" s="12"/>
      <c r="R438" s="12"/>
      <c r="S438" s="12"/>
      <c r="T438" s="12"/>
      <c r="U438" s="12"/>
    </row>
    <row r="439">
      <c r="A439" s="17" t="s">
        <v>1602</v>
      </c>
      <c r="B439" s="19" t="s">
        <v>1603</v>
      </c>
      <c r="C439" s="8" t="n">
        <v>15411</v>
      </c>
      <c r="D439" s="8" t="n">
        <v>98000</v>
      </c>
      <c r="E439" s="8" t="n">
        <v>127000</v>
      </c>
      <c r="F439" s="8" t="n">
        <v>313000</v>
      </c>
      <c r="G439" s="8" t="n">
        <v>118000</v>
      </c>
      <c r="H439" s="8" t="n">
        <v>166190</v>
      </c>
      <c r="I439" s="42" t="n">
        <v>407805</v>
      </c>
      <c r="J439" s="42" t="n">
        <v>151784</v>
      </c>
      <c r="K439" s="42" t="n">
        <v>42765</v>
      </c>
      <c r="L439" s="42" t="n">
        <v>9296</v>
      </c>
      <c r="M439" s="12"/>
      <c r="N439" s="12"/>
      <c r="O439" s="12"/>
      <c r="P439" s="12"/>
      <c r="Q439" s="12"/>
      <c r="R439" s="12"/>
      <c r="S439" s="12"/>
      <c r="T439" s="12"/>
      <c r="U439" s="12"/>
    </row>
    <row r="440">
      <c r="A440" s="17"/>
      <c r="B440" s="19" t="s">
        <v>1604</v>
      </c>
      <c r="C440" s="41"/>
      <c r="D440" s="43" t="n">
        <v>3361</v>
      </c>
      <c r="E440" s="8" t="n">
        <v>5082</v>
      </c>
      <c r="F440" s="8" t="n">
        <v>5038</v>
      </c>
      <c r="G440" s="8" t="n">
        <v>2974</v>
      </c>
      <c r="H440" s="8" t="n">
        <v>9273</v>
      </c>
      <c r="I440" s="42" t="n">
        <v>5442</v>
      </c>
      <c r="J440" s="42" t="n">
        <v>4601</v>
      </c>
      <c r="K440" s="42" t="n">
        <v>273</v>
      </c>
      <c r="L440" s="42" t="n">
        <v>45</v>
      </c>
      <c r="M440" s="12"/>
      <c r="N440" s="12"/>
      <c r="O440" s="12"/>
      <c r="P440" s="12"/>
      <c r="Q440" s="12"/>
      <c r="R440" s="12"/>
      <c r="S440" s="12"/>
      <c r="T440" s="12"/>
      <c r="U440" s="12"/>
    </row>
    <row r="441">
      <c r="A441" s="17"/>
      <c r="B441" s="19" t="s">
        <v>1605</v>
      </c>
      <c r="C441" s="8" t="n">
        <v>1623626</v>
      </c>
      <c r="D441" s="8" t="n">
        <v>21930</v>
      </c>
      <c r="E441" s="8" t="n">
        <v>31036</v>
      </c>
      <c r="F441" s="8" t="n">
        <v>211000</v>
      </c>
      <c r="G441" s="8" t="n">
        <v>105000</v>
      </c>
      <c r="H441" s="8" t="n">
        <v>96000</v>
      </c>
      <c r="I441" s="42" t="n">
        <v>927383</v>
      </c>
      <c r="J441" s="42" t="n">
        <v>108321</v>
      </c>
      <c r="K441" s="42" t="n">
        <v>357324</v>
      </c>
      <c r="L441" s="42" t="n">
        <v>83486</v>
      </c>
      <c r="M441" s="12"/>
      <c r="N441" s="12"/>
      <c r="O441" s="12"/>
      <c r="P441" s="12"/>
      <c r="Q441" s="12"/>
      <c r="R441" s="12"/>
      <c r="S441" s="12"/>
      <c r="T441" s="12"/>
      <c r="U441" s="12"/>
    </row>
    <row r="442">
      <c r="A442" s="4"/>
      <c r="B442" s="4"/>
      <c r="C442" s="4" t="s">
        <v>1606</v>
      </c>
      <c r="D442" s="4" t="s">
        <v>1607</v>
      </c>
      <c r="E442" s="4" t="s">
        <v>1608</v>
      </c>
      <c r="F442" s="4" t="s">
        <v>1609</v>
      </c>
      <c r="G442" s="4" t="s">
        <v>1610</v>
      </c>
      <c r="H442" s="4" t="s">
        <v>1611</v>
      </c>
      <c r="I442" s="4" t="s">
        <v>1612</v>
      </c>
      <c r="J442" s="4" t="s">
        <v>1613</v>
      </c>
      <c r="K442" s="4" t="s">
        <v>1614</v>
      </c>
      <c r="L442" s="4" t="s">
        <v>1615</v>
      </c>
      <c r="M442" s="12"/>
      <c r="N442" s="12"/>
      <c r="O442" s="12"/>
      <c r="P442" s="12"/>
      <c r="Q442" s="12"/>
      <c r="R442" s="12"/>
      <c r="S442" s="12"/>
      <c r="T442" s="12"/>
      <c r="U442" s="12"/>
    </row>
    <row r="443">
      <c r="A443" s="17" t="s">
        <v>1616</v>
      </c>
      <c r="B443" s="19" t="s">
        <v>1617</v>
      </c>
      <c r="C443" s="42" t="n">
        <v>64245</v>
      </c>
      <c r="D443" s="42" t="n">
        <v>96000</v>
      </c>
      <c r="E443" s="42" t="n">
        <v>109000</v>
      </c>
      <c r="F443" s="42" t="n">
        <v>327000</v>
      </c>
      <c r="G443" s="8" t="n">
        <v>176000</v>
      </c>
      <c r="H443" s="42" t="n">
        <v>114774</v>
      </c>
      <c r="I443" s="42" t="n">
        <v>86228</v>
      </c>
      <c r="J443" s="42" t="n">
        <v>81011</v>
      </c>
      <c r="K443" s="42" t="n">
        <v>58987</v>
      </c>
      <c r="L443" s="44" t="n">
        <v>10344</v>
      </c>
      <c r="M443" s="12"/>
      <c r="N443" s="12"/>
      <c r="O443" s="12"/>
      <c r="P443" s="12"/>
      <c r="Q443" s="12"/>
      <c r="R443" s="12"/>
      <c r="S443" s="12"/>
      <c r="T443" s="12"/>
      <c r="U443" s="12"/>
    </row>
    <row r="444">
      <c r="A444" s="17"/>
      <c r="B444" s="19" t="s">
        <v>1618</v>
      </c>
      <c r="C444" s="42"/>
      <c r="D444" s="42" t="n">
        <v>3725</v>
      </c>
      <c r="E444" s="42" t="n">
        <v>4681</v>
      </c>
      <c r="F444" s="42" t="n">
        <v>5299</v>
      </c>
      <c r="G444" s="42" t="n">
        <v>4415</v>
      </c>
      <c r="H444" s="42" t="n">
        <v>5734</v>
      </c>
      <c r="I444" s="42" t="n">
        <v>1264</v>
      </c>
      <c r="J444" s="42" t="n">
        <v>2451</v>
      </c>
      <c r="K444" s="42" t="n">
        <v>1504</v>
      </c>
      <c r="L444" s="44" t="n">
        <v>50</v>
      </c>
      <c r="M444" s="12"/>
      <c r="N444" s="12"/>
      <c r="O444" s="12"/>
      <c r="P444" s="12"/>
      <c r="Q444" s="12"/>
      <c r="R444" s="12"/>
      <c r="S444" s="12"/>
      <c r="T444" s="12"/>
      <c r="U444" s="12"/>
    </row>
    <row r="445">
      <c r="A445" s="17"/>
      <c r="B445" s="19" t="s">
        <v>1619</v>
      </c>
      <c r="C445" s="42" t="n">
        <v>1623697</v>
      </c>
      <c r="D445" s="42" t="n">
        <v>20433</v>
      </c>
      <c r="E445" s="42" t="n">
        <v>30210</v>
      </c>
      <c r="F445" s="42" t="n">
        <v>210000</v>
      </c>
      <c r="G445" s="42" t="n">
        <v>104000</v>
      </c>
      <c r="H445" s="42" t="n">
        <v>93000</v>
      </c>
      <c r="I445" s="42" t="n">
        <v>926476</v>
      </c>
      <c r="J445" s="42" t="n">
        <v>106091</v>
      </c>
      <c r="K445" s="42" t="n">
        <v>357208</v>
      </c>
      <c r="L445" s="42" t="n">
        <v>83450</v>
      </c>
      <c r="M445" s="12"/>
      <c r="N445" s="12"/>
      <c r="O445" s="12"/>
      <c r="P445" s="12"/>
      <c r="Q445" s="12"/>
      <c r="R445" s="12"/>
      <c r="S445" s="12"/>
      <c r="T445" s="12"/>
      <c r="U445" s="12"/>
    </row>
    <row r="446">
      <c r="A446" s="4"/>
      <c r="B446" s="4"/>
      <c r="C446" s="4" t="s">
        <v>1620</v>
      </c>
      <c r="D446" s="4" t="s">
        <v>1621</v>
      </c>
      <c r="E446" s="4" t="s">
        <v>1622</v>
      </c>
      <c r="F446" s="4" t="s">
        <v>1623</v>
      </c>
      <c r="G446" s="4" t="s">
        <v>1624</v>
      </c>
      <c r="H446" s="4" t="s">
        <v>1625</v>
      </c>
      <c r="I446" s="4" t="s">
        <v>1626</v>
      </c>
      <c r="J446" s="4" t="s">
        <v>1627</v>
      </c>
      <c r="K446" s="4" t="s">
        <v>1628</v>
      </c>
      <c r="L446" s="4" t="s">
        <v>1629</v>
      </c>
      <c r="M446" s="12"/>
      <c r="N446" s="12"/>
      <c r="O446" s="12"/>
      <c r="P446" s="12"/>
      <c r="Q446" s="12"/>
      <c r="R446" s="12"/>
      <c r="S446" s="12"/>
      <c r="T446" s="12"/>
      <c r="U446" s="12"/>
    </row>
    <row r="447">
      <c r="A447" s="17" t="s">
        <v>1630</v>
      </c>
      <c r="B447" s="19" t="s">
        <v>1631</v>
      </c>
      <c r="C447" s="42" t="n">
        <v>24581</v>
      </c>
      <c r="D447" s="42" t="n">
        <v>133000</v>
      </c>
      <c r="E447" s="42" t="n">
        <v>205000</v>
      </c>
      <c r="F447" s="42" t="n">
        <v>610000</v>
      </c>
      <c r="G447" s="8" t="n">
        <v>208000</v>
      </c>
      <c r="H447" s="42" t="n">
        <v>166297</v>
      </c>
      <c r="I447" s="42" t="n">
        <v>67385</v>
      </c>
      <c r="J447" s="42" t="n">
        <v>92548</v>
      </c>
      <c r="K447" s="42" t="n">
        <v>90680</v>
      </c>
      <c r="L447" s="44" t="n">
        <v>8777</v>
      </c>
      <c r="M447" s="12"/>
      <c r="N447" s="12"/>
      <c r="O447" s="12"/>
      <c r="P447" s="12"/>
      <c r="Q447" s="12"/>
      <c r="R447" s="12"/>
      <c r="S447" s="12"/>
      <c r="T447" s="12"/>
      <c r="U447" s="12"/>
    </row>
    <row r="448">
      <c r="A448" s="17"/>
      <c r="B448" s="19" t="s">
        <v>1632</v>
      </c>
      <c r="C448" s="42"/>
      <c r="D448" s="42" t="n">
        <v>4879</v>
      </c>
      <c r="E448" s="42" t="n">
        <v>6000</v>
      </c>
      <c r="F448" s="42" t="n">
        <v>9000</v>
      </c>
      <c r="G448" s="42" t="n">
        <v>5300</v>
      </c>
      <c r="H448" s="42" t="n">
        <v>8300</v>
      </c>
      <c r="I448" s="42" t="n">
        <v>1097</v>
      </c>
      <c r="J448" s="42" t="n">
        <v>2637</v>
      </c>
      <c r="K448" s="42" t="n">
        <v>694</v>
      </c>
      <c r="L448" s="44" t="n">
        <v>90</v>
      </c>
      <c r="M448" s="12"/>
      <c r="N448" s="12"/>
      <c r="O448" s="12"/>
      <c r="P448" s="12"/>
      <c r="Q448" s="12"/>
      <c r="R448" s="12"/>
      <c r="S448" s="12"/>
      <c r="T448" s="12"/>
      <c r="U448" s="12"/>
    </row>
    <row r="449">
      <c r="A449" s="17"/>
      <c r="B449" s="19" t="s">
        <v>1633</v>
      </c>
      <c r="C449" s="42" t="n">
        <v>1623968</v>
      </c>
      <c r="D449" s="42" t="n">
        <v>18860</v>
      </c>
      <c r="E449" s="42" t="n">
        <v>29023</v>
      </c>
      <c r="F449" s="42" t="n">
        <v>210000</v>
      </c>
      <c r="G449" s="42" t="n">
        <v>103000</v>
      </c>
      <c r="H449" s="42" t="n">
        <v>91000</v>
      </c>
      <c r="I449" s="42" t="n">
        <v>925552</v>
      </c>
      <c r="J449" s="42" t="n">
        <v>105229</v>
      </c>
      <c r="K449" s="42" t="n">
        <v>357131</v>
      </c>
      <c r="L449" s="42" t="n">
        <v>83424</v>
      </c>
      <c r="M449" s="12"/>
      <c r="N449" s="12"/>
      <c r="O449" s="12"/>
      <c r="P449" s="12"/>
      <c r="Q449" s="12"/>
      <c r="R449" s="12"/>
      <c r="S449" s="12"/>
      <c r="T449" s="12"/>
      <c r="U449" s="12"/>
    </row>
    <row r="450">
      <c r="A450" s="4"/>
      <c r="B450" s="4"/>
      <c r="C450" s="4" t="s">
        <v>1634</v>
      </c>
      <c r="D450" s="4" t="s">
        <v>1635</v>
      </c>
      <c r="E450" s="4" t="s">
        <v>1636</v>
      </c>
      <c r="F450" s="4" t="s">
        <v>1637</v>
      </c>
      <c r="G450" s="4" t="s">
        <v>1638</v>
      </c>
      <c r="H450" s="4" t="s">
        <v>1639</v>
      </c>
      <c r="I450" s="4" t="s">
        <v>1640</v>
      </c>
      <c r="J450" s="4" t="s">
        <v>1641</v>
      </c>
      <c r="K450" s="4" t="s">
        <v>1642</v>
      </c>
      <c r="L450" s="4" t="s">
        <v>1643</v>
      </c>
      <c r="M450" s="12"/>
      <c r="N450" s="12"/>
      <c r="O450" s="12"/>
      <c r="P450" s="12"/>
      <c r="Q450" s="12"/>
      <c r="R450" s="12"/>
      <c r="S450" s="12"/>
      <c r="T450" s="12"/>
      <c r="U450" s="12"/>
    </row>
    <row r="451">
      <c r="A451" s="17" t="s">
        <v>1644</v>
      </c>
      <c r="B451" s="19" t="s">
        <v>1645</v>
      </c>
      <c r="C451" s="42" t="n">
        <v>44924</v>
      </c>
      <c r="D451" s="42" t="n">
        <v>125000</v>
      </c>
      <c r="E451" s="42" t="n">
        <v>145000</v>
      </c>
      <c r="F451" s="42" t="n">
        <v>700000</v>
      </c>
      <c r="G451" s="8" t="n">
        <v>187000</v>
      </c>
      <c r="H451" s="42" t="n">
        <v>250920</v>
      </c>
      <c r="I451" s="42" t="n">
        <v>132789</v>
      </c>
      <c r="J451" s="42" t="n">
        <v>103328</v>
      </c>
      <c r="K451" s="42" t="n">
        <v>767849</v>
      </c>
      <c r="L451" s="44" t="n">
        <v>11567</v>
      </c>
      <c r="M451" s="12"/>
      <c r="N451" s="12"/>
      <c r="O451" s="12"/>
      <c r="P451" s="12"/>
      <c r="Q451" s="12"/>
      <c r="R451" s="12"/>
      <c r="S451" s="12"/>
      <c r="T451" s="12"/>
      <c r="U451" s="12"/>
    </row>
    <row r="452">
      <c r="A452" s="17"/>
      <c r="B452" s="19" t="s">
        <v>1646</v>
      </c>
      <c r="C452" s="42"/>
      <c r="D452" s="42" t="n">
        <v>3424</v>
      </c>
      <c r="E452" s="42" t="n">
        <v>58311</v>
      </c>
      <c r="F452" s="42" t="n">
        <v>8705</v>
      </c>
      <c r="G452" s="42" t="n">
        <v>4462</v>
      </c>
      <c r="H452" s="42" t="n">
        <v>11136</v>
      </c>
      <c r="I452" s="42" t="n">
        <v>1692</v>
      </c>
      <c r="J452" s="42" t="n">
        <v>3446</v>
      </c>
      <c r="K452" s="42" t="n">
        <v>8043</v>
      </c>
      <c r="L452" s="44" t="n">
        <v>37</v>
      </c>
      <c r="M452" s="12"/>
      <c r="N452" s="12"/>
      <c r="O452" s="12"/>
      <c r="P452" s="12"/>
      <c r="Q452" s="12"/>
      <c r="R452" s="12"/>
      <c r="S452" s="12"/>
      <c r="T452" s="12"/>
      <c r="U452" s="12"/>
    </row>
    <row r="453">
      <c r="A453" s="17"/>
      <c r="B453" s="19" t="s">
        <v>1647</v>
      </c>
      <c r="C453" s="42" t="n">
        <v>1624163</v>
      </c>
      <c r="D453" s="42" t="n">
        <v>16324</v>
      </c>
      <c r="E453" s="42" t="n">
        <v>28894</v>
      </c>
      <c r="F453" s="42" t="n">
        <v>208000</v>
      </c>
      <c r="G453" s="42" t="n">
        <v>102000</v>
      </c>
      <c r="H453" s="42" t="n">
        <v>88000</v>
      </c>
      <c r="I453" s="42" t="n">
        <v>924914</v>
      </c>
      <c r="J453" s="42" t="n">
        <v>104568</v>
      </c>
      <c r="K453" s="42" t="n">
        <v>352010</v>
      </c>
      <c r="L453" s="42" t="n">
        <v>83385</v>
      </c>
      <c r="M453" s="12"/>
      <c r="N453" s="12"/>
      <c r="O453" s="12"/>
      <c r="P453" s="12"/>
      <c r="Q453" s="12"/>
      <c r="R453" s="12"/>
      <c r="S453" s="12"/>
      <c r="T453" s="12"/>
      <c r="U453" s="12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12"/>
      <c r="N454" s="12"/>
      <c r="O454" s="12"/>
      <c r="P454" s="12"/>
      <c r="Q454" s="12"/>
      <c r="R454" s="12"/>
      <c r="S454" s="12"/>
      <c r="T454" s="12"/>
      <c r="U454" s="12"/>
    </row>
    <row r="455">
      <c r="A455" s="4"/>
      <c r="B455" s="4"/>
      <c r="C455" s="4" t="s">
        <v>1648</v>
      </c>
      <c r="D455" s="4" t="s">
        <v>1649</v>
      </c>
      <c r="E455" s="4" t="s">
        <v>1650</v>
      </c>
      <c r="F455" s="4" t="s">
        <v>1651</v>
      </c>
      <c r="G455" s="4" t="s">
        <v>1652</v>
      </c>
      <c r="H455" s="4" t="s">
        <v>1653</v>
      </c>
      <c r="I455" s="4" t="s">
        <v>1654</v>
      </c>
      <c r="J455" s="4" t="s">
        <v>1655</v>
      </c>
      <c r="K455" s="4" t="s">
        <v>1656</v>
      </c>
      <c r="L455" s="4" t="s">
        <v>1657</v>
      </c>
      <c r="M455" s="12"/>
      <c r="N455" s="12"/>
      <c r="O455" s="12"/>
      <c r="P455" s="12"/>
      <c r="Q455" s="12"/>
      <c r="R455" s="12"/>
      <c r="S455" s="12"/>
      <c r="T455" s="12"/>
      <c r="U455" s="12"/>
    </row>
    <row r="456">
      <c r="A456" s="17" t="s">
        <v>1658</v>
      </c>
      <c r="B456" s="19" t="s">
        <v>1659</v>
      </c>
      <c r="C456" s="42" t="n">
        <v>26955</v>
      </c>
      <c r="D456" s="42" t="n">
        <v>90000</v>
      </c>
      <c r="E456" s="42" t="n">
        <v>116000</v>
      </c>
      <c r="F456" s="42" t="n">
        <v>1350000</v>
      </c>
      <c r="G456" s="8" t="n">
        <v>381000</v>
      </c>
      <c r="H456" s="42" t="n">
        <v>257344</v>
      </c>
      <c r="I456" s="42" t="n">
        <v>172391</v>
      </c>
      <c r="J456" s="42" t="n">
        <v>114703</v>
      </c>
      <c r="K456" s="42" t="n">
        <v>181968</v>
      </c>
      <c r="L456" s="44" t="n">
        <v>12972</v>
      </c>
      <c r="M456" s="12"/>
      <c r="N456" s="12"/>
      <c r="O456" s="12"/>
      <c r="P456" s="12"/>
      <c r="Q456" s="12"/>
      <c r="R456" s="12"/>
      <c r="S456" s="12"/>
      <c r="T456" s="12"/>
      <c r="U456" s="12"/>
    </row>
    <row r="457">
      <c r="A457" s="17"/>
      <c r="B457" s="19" t="s">
        <v>1660</v>
      </c>
      <c r="C457" s="42"/>
      <c r="D457" s="42" t="n">
        <v>2177</v>
      </c>
      <c r="E457" s="42" t="n">
        <v>4957</v>
      </c>
      <c r="F457" s="42" t="n">
        <v>11396</v>
      </c>
      <c r="G457" s="42" t="n">
        <v>8230</v>
      </c>
      <c r="H457" s="42" t="n">
        <v>8970</v>
      </c>
      <c r="I457" s="42" t="n">
        <v>1897</v>
      </c>
      <c r="J457" s="42" t="n">
        <v>3419</v>
      </c>
      <c r="K457" s="42" t="n">
        <v>1701</v>
      </c>
      <c r="L457" s="44" t="n">
        <v>364</v>
      </c>
      <c r="M457" s="12"/>
      <c r="N457" s="12"/>
      <c r="O457" s="12"/>
      <c r="P457" s="12"/>
      <c r="Q457" s="12"/>
      <c r="R457" s="12"/>
      <c r="S457" s="12"/>
      <c r="T457" s="12"/>
      <c r="U457" s="12"/>
    </row>
    <row r="458">
      <c r="A458" s="17"/>
      <c r="B458" s="19" t="s">
        <v>1661</v>
      </c>
      <c r="C458" s="42" t="n">
        <v>1624387</v>
      </c>
      <c r="D458" s="42" t="n">
        <v>14272</v>
      </c>
      <c r="E458" s="42" t="n">
        <v>28788</v>
      </c>
      <c r="F458" s="42" t="n">
        <v>206000</v>
      </c>
      <c r="G458" s="42" t="n">
        <v>101000</v>
      </c>
      <c r="H458" s="42" t="n">
        <v>84000</v>
      </c>
      <c r="I458" s="42" t="n">
        <v>923835</v>
      </c>
      <c r="J458" s="42" t="n">
        <v>103256</v>
      </c>
      <c r="K458" s="42" t="n">
        <v>350678</v>
      </c>
      <c r="L458" s="42" t="n">
        <v>83355</v>
      </c>
      <c r="M458" s="12"/>
      <c r="N458" s="12"/>
      <c r="O458" s="12"/>
      <c r="P458" s="12"/>
      <c r="Q458" s="12"/>
      <c r="R458" s="12"/>
      <c r="S458" s="12"/>
      <c r="T458" s="12"/>
      <c r="U458" s="12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12"/>
      <c r="N459" s="12"/>
      <c r="O459" s="12"/>
      <c r="P459" s="12"/>
      <c r="Q459" s="12"/>
      <c r="R459" s="12"/>
      <c r="S459" s="12"/>
      <c r="T459" s="12"/>
      <c r="U459" s="12"/>
    </row>
    <row r="460">
      <c r="A460" s="4"/>
      <c r="B460" s="4"/>
      <c r="C460" s="4" t="s">
        <v>1662</v>
      </c>
      <c r="D460" s="4" t="s">
        <v>1663</v>
      </c>
      <c r="E460" s="4" t="s">
        <v>1664</v>
      </c>
      <c r="F460" s="4" t="s">
        <v>1665</v>
      </c>
      <c r="G460" s="4" t="s">
        <v>1666</v>
      </c>
      <c r="H460" s="4" t="s">
        <v>1667</v>
      </c>
      <c r="I460" s="4" t="s">
        <v>1668</v>
      </c>
      <c r="J460" s="4" t="s">
        <v>1669</v>
      </c>
      <c r="K460" s="4" t="s">
        <v>1670</v>
      </c>
      <c r="L460" s="4" t="s">
        <v>1671</v>
      </c>
      <c r="M460" s="12"/>
      <c r="N460" s="12"/>
      <c r="O460" s="12"/>
      <c r="P460" s="12"/>
      <c r="Q460" s="12"/>
      <c r="R460" s="12"/>
      <c r="S460" s="12"/>
      <c r="T460" s="12"/>
      <c r="U460" s="12"/>
    </row>
    <row r="461">
      <c r="A461" s="17" t="s">
        <v>1672</v>
      </c>
      <c r="B461" s="19" t="s">
        <v>1673</v>
      </c>
      <c r="C461" s="42" t="n">
        <v>17184</v>
      </c>
      <c r="D461" s="42" t="n">
        <v>96000</v>
      </c>
      <c r="E461" s="42" t="n">
        <v>152000</v>
      </c>
      <c r="F461" s="42" t="n">
        <v>3089000</v>
      </c>
      <c r="G461" s="8" t="n">
        <v>482000</v>
      </c>
      <c r="H461" s="42" t="n">
        <v>143010</v>
      </c>
      <c r="I461" s="42" t="n">
        <v>391572</v>
      </c>
      <c r="J461" s="42" t="n">
        <v>122223</v>
      </c>
      <c r="K461" s="42" t="n">
        <v>209636</v>
      </c>
      <c r="L461" s="45" t="n">
        <v>20290</v>
      </c>
      <c r="M461" s="12"/>
      <c r="N461" s="12"/>
      <c r="O461" s="12"/>
      <c r="P461" s="12"/>
      <c r="Q461" s="12"/>
      <c r="R461" s="12"/>
      <c r="S461" s="12"/>
      <c r="T461" s="12"/>
      <c r="U461" s="12"/>
    </row>
    <row r="462">
      <c r="A462" s="17"/>
      <c r="B462" s="19" t="s">
        <v>1674</v>
      </c>
      <c r="C462" s="42"/>
      <c r="D462" s="42" t="n">
        <v>2049</v>
      </c>
      <c r="E462" s="42" t="n">
        <v>6808</v>
      </c>
      <c r="F462" s="42" t="n">
        <v>23600</v>
      </c>
      <c r="G462" s="42" t="n">
        <v>10000</v>
      </c>
      <c r="H462" s="42" t="n">
        <v>4800</v>
      </c>
      <c r="I462" s="42" t="n">
        <v>4365</v>
      </c>
      <c r="J462" s="42" t="n">
        <v>2901</v>
      </c>
      <c r="K462" s="42" t="n">
        <v>3963</v>
      </c>
      <c r="L462" s="45" t="n">
        <v>37</v>
      </c>
      <c r="M462" s="12"/>
      <c r="N462" s="12"/>
      <c r="O462" s="12"/>
      <c r="P462" s="12"/>
      <c r="Q462" s="12"/>
      <c r="R462" s="12"/>
      <c r="S462" s="12"/>
      <c r="T462" s="12"/>
      <c r="U462" s="12"/>
    </row>
    <row r="463">
      <c r="A463" s="17"/>
      <c r="B463" s="19" t="s">
        <v>1675</v>
      </c>
      <c r="C463" s="42" t="n">
        <v>1624555</v>
      </c>
      <c r="D463" s="42" t="n">
        <v>12488</v>
      </c>
      <c r="E463" s="42" t="n">
        <v>28672</v>
      </c>
      <c r="F463" s="42" t="n">
        <v>204000</v>
      </c>
      <c r="G463" s="42" t="n">
        <v>100000</v>
      </c>
      <c r="H463" s="42" t="n">
        <v>78000</v>
      </c>
      <c r="I463" s="42" t="n">
        <v>921181</v>
      </c>
      <c r="J463" s="42" t="n">
        <v>101935</v>
      </c>
      <c r="K463" s="42" t="n">
        <v>350349</v>
      </c>
      <c r="L463" s="42" t="n">
        <v>83324</v>
      </c>
      <c r="M463" s="12"/>
      <c r="N463" s="12"/>
      <c r="O463" s="12"/>
      <c r="P463" s="12"/>
      <c r="Q463" s="12"/>
      <c r="R463" s="12"/>
      <c r="S463" s="12"/>
      <c r="T463" s="12"/>
      <c r="U463" s="12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 t="n">
        <v>3328</v>
      </c>
      <c r="K464" s="4"/>
      <c r="L464" s="4"/>
      <c r="M464" s="12"/>
      <c r="N464" s="12"/>
      <c r="O464" s="12"/>
      <c r="P464" s="12"/>
      <c r="Q464" s="12"/>
      <c r="R464" s="12"/>
      <c r="S464" s="12"/>
      <c r="T464" s="12"/>
      <c r="U464" s="12"/>
    </row>
    <row r="465">
      <c r="A465" s="4"/>
      <c r="B465" s="4"/>
      <c r="C465" s="4" t="s">
        <v>1676</v>
      </c>
      <c r="D465" s="4" t="s">
        <v>1677</v>
      </c>
      <c r="E465" s="4" t="s">
        <v>1678</v>
      </c>
      <c r="F465" s="4" t="s">
        <v>1679</v>
      </c>
      <c r="G465" s="4" t="s">
        <v>1680</v>
      </c>
      <c r="H465" s="4" t="s">
        <v>1681</v>
      </c>
      <c r="I465" s="4" t="s">
        <v>1682</v>
      </c>
      <c r="J465" s="4" t="s">
        <v>1683</v>
      </c>
      <c r="K465" s="4" t="s">
        <v>1684</v>
      </c>
      <c r="L465" s="4" t="s">
        <v>1685</v>
      </c>
      <c r="M465" s="12"/>
      <c r="N465" s="12"/>
      <c r="O465" s="12"/>
      <c r="P465" s="12"/>
      <c r="Q465" s="12"/>
      <c r="R465" s="12"/>
      <c r="S465" s="12"/>
      <c r="T465" s="12"/>
      <c r="U465" s="12"/>
    </row>
    <row r="466" ht="19.5" customHeight="1">
      <c r="A466" s="17" t="s">
        <v>1686</v>
      </c>
      <c r="B466" s="19" t="s">
        <v>1687</v>
      </c>
      <c r="C466" s="42" t="n">
        <v>41614</v>
      </c>
      <c r="D466" s="42" t="n">
        <v>92000</v>
      </c>
      <c r="E466" s="42" t="n">
        <v>115000</v>
      </c>
      <c r="F466" s="42" t="n">
        <v>1773000</v>
      </c>
      <c r="G466" s="8" t="n">
        <v>363000</v>
      </c>
      <c r="H466" s="42" t="n">
        <v>174575</v>
      </c>
      <c r="I466" s="42" t="n">
        <v>242242</v>
      </c>
      <c r="J466" s="42" t="n">
        <v>186452</v>
      </c>
      <c r="K466" s="42" t="n">
        <v>173528</v>
      </c>
      <c r="L466" s="42" t="n">
        <v>11830</v>
      </c>
      <c r="M466" s="12"/>
      <c r="N466" s="12"/>
      <c r="O466" s="12"/>
      <c r="P466" s="12"/>
      <c r="Q466" s="12"/>
      <c r="R466" s="12"/>
      <c r="S466" s="12"/>
      <c r="T466" s="12"/>
      <c r="U466" s="12"/>
    </row>
    <row r="467">
      <c r="A467" s="17"/>
      <c r="B467" s="19" t="s">
        <v>1688</v>
      </c>
      <c r="C467" s="42"/>
      <c r="D467" s="42" t="n">
        <v>1737</v>
      </c>
      <c r="E467" s="42" t="n">
        <v>5094</v>
      </c>
      <c r="F467" s="42" t="n">
        <v>23000</v>
      </c>
      <c r="G467" s="42" t="n">
        <v>8255</v>
      </c>
      <c r="H467" s="42" t="n">
        <v>8400</v>
      </c>
      <c r="I467" s="42" t="n">
        <v>2732</v>
      </c>
      <c r="J467" s="42" t="n">
        <v>4934</v>
      </c>
      <c r="K467" s="42" t="n">
        <v>2145</v>
      </c>
      <c r="L467" s="42" t="n">
        <v>77</v>
      </c>
      <c r="M467" s="12"/>
      <c r="N467" s="12"/>
      <c r="O467" s="12"/>
      <c r="P467" s="12"/>
      <c r="Q467" s="12"/>
      <c r="R467" s="12"/>
      <c r="S467" s="12"/>
      <c r="T467" s="12"/>
      <c r="U467" s="12"/>
    </row>
    <row r="468">
      <c r="A468" s="17"/>
      <c r="B468" s="19" t="s">
        <v>1689</v>
      </c>
      <c r="C468" s="42" t="n">
        <v>1624697</v>
      </c>
      <c r="D468" s="42" t="n">
        <v>11718</v>
      </c>
      <c r="E468" s="42" t="n">
        <v>28607</v>
      </c>
      <c r="F468" s="42" t="n">
        <v>196000</v>
      </c>
      <c r="G468" s="42" t="n">
        <v>98000</v>
      </c>
      <c r="H468" s="42" t="n">
        <v>76000</v>
      </c>
      <c r="I468" s="42" t="n">
        <v>920008</v>
      </c>
      <c r="J468" s="42" t="n">
        <v>100697</v>
      </c>
      <c r="K468" s="42" t="n">
        <v>350120</v>
      </c>
      <c r="L468" s="42" t="n">
        <v>83296</v>
      </c>
      <c r="M468" s="12"/>
      <c r="N468" s="12"/>
      <c r="O468" s="12"/>
      <c r="P468" s="12"/>
      <c r="Q468" s="12"/>
      <c r="R468" s="12"/>
      <c r="S468" s="12"/>
      <c r="T468" s="12"/>
      <c r="U468" s="12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12"/>
      <c r="N469" s="12"/>
      <c r="O469" s="12"/>
      <c r="P469" s="12"/>
      <c r="Q469" s="12"/>
      <c r="R469" s="12"/>
      <c r="S469" s="12"/>
      <c r="T469" s="12"/>
      <c r="U469" s="12"/>
    </row>
    <row r="470">
      <c r="A470" s="4"/>
      <c r="B470" s="4"/>
      <c r="C470" s="4" t="s">
        <v>1690</v>
      </c>
      <c r="D470" s="4" t="s">
        <v>1691</v>
      </c>
      <c r="E470" s="4" t="s">
        <v>1692</v>
      </c>
      <c r="F470" s="4" t="s">
        <v>1693</v>
      </c>
      <c r="G470" s="4" t="s">
        <v>1694</v>
      </c>
      <c r="H470" s="4" t="s">
        <v>1695</v>
      </c>
      <c r="I470" s="4" t="s">
        <v>1696</v>
      </c>
      <c r="J470" s="4" t="s">
        <v>1697</v>
      </c>
      <c r="K470" s="4" t="s">
        <v>1698</v>
      </c>
      <c r="L470" s="4" t="s">
        <v>1699</v>
      </c>
      <c r="M470" s="12"/>
      <c r="N470" s="12"/>
      <c r="O470" s="12"/>
      <c r="P470" s="12"/>
      <c r="Q470" s="12"/>
      <c r="R470" s="12"/>
      <c r="S470" s="12"/>
      <c r="T470" s="12"/>
      <c r="U470" s="12"/>
    </row>
    <row r="471">
      <c r="A471" s="17" t="s">
        <v>1700</v>
      </c>
      <c r="B471" s="19" t="s">
        <v>1701</v>
      </c>
      <c r="C471" s="8" t="n">
        <v>25330</v>
      </c>
      <c r="D471" s="8" t="n">
        <v>87000</v>
      </c>
      <c r="E471" s="8" t="n">
        <v>83000</v>
      </c>
      <c r="F471" s="8" t="n">
        <v>1927000</v>
      </c>
      <c r="G471" s="8" t="n">
        <v>223000</v>
      </c>
      <c r="H471" s="8" t="n">
        <v>528849</v>
      </c>
      <c r="I471" s="42" t="n">
        <v>234441</v>
      </c>
      <c r="J471" s="42" t="n">
        <v>142094</v>
      </c>
      <c r="K471" s="42" t="n">
        <v>125193</v>
      </c>
      <c r="L471" s="42" t="n">
        <v>11344</v>
      </c>
      <c r="M471" s="12"/>
      <c r="N471" s="12"/>
      <c r="O471" s="12"/>
      <c r="P471" s="12"/>
      <c r="Q471" s="12"/>
      <c r="R471" s="12"/>
      <c r="S471" s="12"/>
      <c r="T471" s="12"/>
      <c r="U471" s="12"/>
    </row>
    <row r="472">
      <c r="A472" s="17"/>
      <c r="B472" s="19" t="s">
        <v>1702</v>
      </c>
      <c r="C472" s="41"/>
      <c r="D472" s="8" t="n">
        <v>2348</v>
      </c>
      <c r="E472" s="8" t="n">
        <v>4219</v>
      </c>
      <c r="F472" s="8" t="n">
        <v>22000</v>
      </c>
      <c r="G472" s="8" t="n">
        <v>5100</v>
      </c>
      <c r="H472" s="8" t="n">
        <v>5500</v>
      </c>
      <c r="I472" s="42" t="n">
        <v>22101</v>
      </c>
      <c r="J472" s="42" t="n">
        <v>2726</v>
      </c>
      <c r="K472" s="42" t="n">
        <v>972</v>
      </c>
      <c r="L472" s="42" t="n">
        <v>451</v>
      </c>
      <c r="M472" s="12"/>
      <c r="N472" s="12"/>
      <c r="O472" s="12"/>
      <c r="P472" s="12"/>
      <c r="Q472" s="12"/>
      <c r="R472" s="12"/>
      <c r="S472" s="12"/>
      <c r="T472" s="12"/>
      <c r="U472" s="12"/>
    </row>
    <row r="473">
      <c r="A473" s="17"/>
      <c r="B473" s="19" t="s">
        <v>1703</v>
      </c>
      <c r="C473" s="8" t="n">
        <v>1624847</v>
      </c>
      <c r="D473" s="8" t="n">
        <v>11035</v>
      </c>
      <c r="E473" s="8" t="n">
        <v>28501</v>
      </c>
      <c r="F473" s="8" t="n">
        <v>190000</v>
      </c>
      <c r="G473" s="8" t="n">
        <v>96000</v>
      </c>
      <c r="H473" s="8" t="n">
        <v>73000</v>
      </c>
      <c r="I473" s="42" t="n">
        <v>917725</v>
      </c>
      <c r="J473" s="42" t="n">
        <v>99113</v>
      </c>
      <c r="K473" s="42" t="n">
        <v>349712</v>
      </c>
      <c r="L473" s="42" t="n">
        <v>83291</v>
      </c>
      <c r="M473" s="12"/>
      <c r="N473" s="12"/>
      <c r="O473" s="12"/>
      <c r="P473" s="12"/>
      <c r="Q473" s="12"/>
      <c r="R473" s="12"/>
      <c r="S473" s="12"/>
      <c r="T473" s="12"/>
      <c r="U473" s="12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12"/>
      <c r="N474" s="12"/>
      <c r="O474" s="12"/>
      <c r="P474" s="12"/>
      <c r="Q474" s="12"/>
      <c r="R474" s="12"/>
      <c r="S474" s="12"/>
      <c r="T474" s="12"/>
      <c r="U474" s="12"/>
    </row>
    <row r="475">
      <c r="A475" s="4"/>
      <c r="B475" s="4"/>
      <c r="C475" s="4" t="s">
        <v>1704</v>
      </c>
      <c r="D475" s="4" t="s">
        <v>1705</v>
      </c>
      <c r="E475" s="4" t="s">
        <v>1706</v>
      </c>
      <c r="F475" s="4" t="s">
        <v>1707</v>
      </c>
      <c r="G475" s="4" t="s">
        <v>1708</v>
      </c>
      <c r="H475" s="4" t="s">
        <v>1709</v>
      </c>
      <c r="I475" s="4" t="s">
        <v>1710</v>
      </c>
      <c r="J475" s="4" t="s">
        <v>1711</v>
      </c>
      <c r="K475" s="4" t="s">
        <v>1712</v>
      </c>
      <c r="L475" s="4" t="s">
        <v>1713</v>
      </c>
      <c r="M475" s="12"/>
      <c r="N475" s="12"/>
      <c r="O475" s="12"/>
      <c r="P475" s="12"/>
      <c r="Q475" s="12"/>
      <c r="R475" s="12"/>
      <c r="S475" s="12"/>
      <c r="T475" s="12"/>
      <c r="U475" s="12"/>
    </row>
    <row r="476">
      <c r="A476" s="17" t="s">
        <v>1714</v>
      </c>
      <c r="B476" s="19" t="s">
        <v>1715</v>
      </c>
      <c r="C476" s="42" t="n">
        <v>33076</v>
      </c>
      <c r="D476" s="42" t="n">
        <v>63000</v>
      </c>
      <c r="E476" s="42" t="n">
        <v>172000</v>
      </c>
      <c r="F476" s="42" t="n">
        <v>917000</v>
      </c>
      <c r="G476" s="8" t="n">
        <v>285000</v>
      </c>
      <c r="H476" s="42" t="n">
        <v>154956</v>
      </c>
      <c r="I476" s="42" t="n">
        <v>249293</v>
      </c>
      <c r="J476" s="42" t="n">
        <v>151054</v>
      </c>
      <c r="K476" s="42" t="n">
        <v>103031</v>
      </c>
      <c r="L476" s="45" t="n">
        <v>11722</v>
      </c>
      <c r="M476" s="12"/>
      <c r="N476" s="12"/>
      <c r="O476" s="12"/>
      <c r="P476" s="12"/>
      <c r="Q476" s="12"/>
      <c r="R476" s="12"/>
      <c r="S476" s="12"/>
      <c r="T476" s="12"/>
      <c r="U476" s="12"/>
    </row>
    <row r="477">
      <c r="A477" s="17"/>
      <c r="B477" s="19" t="s">
        <v>1716</v>
      </c>
      <c r="C477" s="42"/>
      <c r="D477" s="42" t="n">
        <v>1300</v>
      </c>
      <c r="E477" s="42" t="n">
        <v>7848</v>
      </c>
      <c r="F477" s="42" t="n">
        <v>24000</v>
      </c>
      <c r="G477" s="42" t="n">
        <v>7000</v>
      </c>
      <c r="H477" s="42" t="n">
        <v>7000</v>
      </c>
      <c r="I477" s="42" t="n">
        <v>26970</v>
      </c>
      <c r="J477" s="42" t="n">
        <v>3077</v>
      </c>
      <c r="K477" s="42" t="n">
        <v>651</v>
      </c>
      <c r="L477" s="45" t="n">
        <v>56</v>
      </c>
      <c r="M477" s="12"/>
      <c r="N477" s="12"/>
      <c r="O477" s="12"/>
      <c r="P477" s="12"/>
      <c r="Q477" s="12"/>
      <c r="R477" s="12"/>
      <c r="S477" s="12"/>
      <c r="T477" s="12"/>
      <c r="U477" s="12"/>
    </row>
    <row r="478">
      <c r="A478" s="17"/>
      <c r="B478" s="19" t="s">
        <v>1717</v>
      </c>
      <c r="C478" s="42" t="n">
        <v>1625014</v>
      </c>
      <c r="D478" s="42" t="n">
        <v>10729</v>
      </c>
      <c r="E478" s="42" t="n">
        <v>28335</v>
      </c>
      <c r="F478" s="42" t="n">
        <v>182000</v>
      </c>
      <c r="G478" s="42" t="n">
        <v>95000</v>
      </c>
      <c r="H478" s="42" t="n">
        <v>70936</v>
      </c>
      <c r="I478" s="42" t="n">
        <v>915869</v>
      </c>
      <c r="J478" s="42" t="n">
        <v>97920</v>
      </c>
      <c r="K478" s="42" t="n">
        <v>349407</v>
      </c>
      <c r="L478" s="42" t="n">
        <v>83259</v>
      </c>
      <c r="M478" s="12"/>
      <c r="N478" s="12"/>
      <c r="O478" s="12"/>
      <c r="P478" s="12"/>
      <c r="Q478" s="12"/>
      <c r="R478" s="12"/>
      <c r="S478" s="12"/>
      <c r="T478" s="12"/>
      <c r="U478" s="12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5"/>
      <c r="N479" s="5"/>
      <c r="O479" s="5"/>
      <c r="P479" s="5"/>
      <c r="Q479" s="5"/>
      <c r="R479" s="5"/>
      <c r="S479" s="5"/>
      <c r="T479" s="5"/>
      <c r="U479" s="5"/>
    </row>
    <row r="480">
      <c r="A480" s="4"/>
      <c r="B480" s="4"/>
      <c r="C480" s="4" t="s">
        <v>1718</v>
      </c>
      <c r="D480" s="4" t="s">
        <v>1719</v>
      </c>
      <c r="E480" s="4" t="s">
        <v>1720</v>
      </c>
      <c r="F480" s="4" t="s">
        <v>1721</v>
      </c>
      <c r="G480" s="4" t="s">
        <v>1722</v>
      </c>
      <c r="H480" s="4" t="s">
        <v>1723</v>
      </c>
      <c r="I480" s="4" t="s">
        <v>1724</v>
      </c>
      <c r="J480" s="4" t="s">
        <v>1725</v>
      </c>
      <c r="K480" s="4" t="s">
        <v>1726</v>
      </c>
      <c r="L480" s="4" t="s">
        <v>1727</v>
      </c>
      <c r="M480" s="5"/>
      <c r="N480" s="5"/>
      <c r="O480" s="5"/>
      <c r="P480" s="5"/>
      <c r="Q480" s="5"/>
      <c r="R480" s="5"/>
      <c r="S480" s="5"/>
      <c r="T480" s="5"/>
      <c r="U480" s="5"/>
    </row>
    <row r="481">
      <c r="A481" s="17" t="s">
        <v>1728</v>
      </c>
      <c r="B481" s="19" t="s">
        <v>1729</v>
      </c>
      <c r="C481" s="42" t="n">
        <v>24840</v>
      </c>
      <c r="D481" s="42" t="n">
        <v>65000</v>
      </c>
      <c r="E481" s="42" t="n">
        <v>234000</v>
      </c>
      <c r="F481" s="42" t="n">
        <v>1071000</v>
      </c>
      <c r="G481" s="42" t="n">
        <v>406000</v>
      </c>
      <c r="H481" s="42" t="n">
        <v>135407</v>
      </c>
      <c r="I481" s="42" t="n">
        <v>147847</v>
      </c>
      <c r="J481" s="42" t="n">
        <v>100244</v>
      </c>
      <c r="K481" s="42" t="n">
        <v>106326</v>
      </c>
      <c r="L481" s="45" t="n">
        <v>17688</v>
      </c>
      <c r="M481" s="5"/>
      <c r="N481" s="5"/>
      <c r="O481" s="5"/>
      <c r="P481" s="5"/>
      <c r="Q481" s="5"/>
      <c r="R481" s="5"/>
      <c r="S481" s="5"/>
      <c r="T481" s="5"/>
      <c r="U481" s="5"/>
    </row>
    <row r="482">
      <c r="A482" s="17"/>
      <c r="B482" s="19" t="s">
        <v>1730</v>
      </c>
      <c r="C482" s="42"/>
      <c r="D482" s="42" t="n">
        <v>950</v>
      </c>
      <c r="E482" s="42" t="n">
        <v>5000</v>
      </c>
      <c r="F482" s="42" t="n">
        <v>20000</v>
      </c>
      <c r="G482" s="42" t="n">
        <v>8030</v>
      </c>
      <c r="H482" s="42" t="n">
        <v>5000</v>
      </c>
      <c r="I482" s="42" t="n">
        <v>1571</v>
      </c>
      <c r="J482" s="42" t="n">
        <v>2597</v>
      </c>
      <c r="K482" s="42" t="n">
        <v>737</v>
      </c>
      <c r="L482" s="45" t="n">
        <v>62</v>
      </c>
      <c r="M482" s="5"/>
      <c r="N482" s="5"/>
      <c r="O482" s="5"/>
      <c r="P482" s="5"/>
      <c r="Q482" s="5"/>
      <c r="R482" s="5"/>
      <c r="S482" s="5"/>
      <c r="T482" s="5"/>
      <c r="U482" s="5"/>
    </row>
    <row r="483">
      <c r="A483" s="17"/>
      <c r="B483" s="19" t="s">
        <v>1731</v>
      </c>
      <c r="C483" s="42" t="n">
        <v>1625112</v>
      </c>
      <c r="D483" s="42" t="n">
        <v>10521</v>
      </c>
      <c r="E483" s="42" t="n">
        <v>28252</v>
      </c>
      <c r="F483" s="42" t="n">
        <v>177000</v>
      </c>
      <c r="G483" s="42" t="n">
        <v>94000</v>
      </c>
      <c r="H483" s="42" t="n">
        <v>68000</v>
      </c>
      <c r="I483" s="42" t="n">
        <v>913642</v>
      </c>
      <c r="J483" s="42" t="n">
        <v>96733</v>
      </c>
      <c r="K483" s="42" t="n">
        <v>349223</v>
      </c>
      <c r="L483" s="42" t="n">
        <v>83222</v>
      </c>
      <c r="M483" s="5"/>
      <c r="N483" s="5"/>
      <c r="O483" s="5"/>
      <c r="P483" s="5"/>
      <c r="Q483" s="5"/>
      <c r="R483" s="5"/>
      <c r="S483" s="5"/>
      <c r="T483" s="5"/>
      <c r="U483" s="5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5"/>
      <c r="N484" s="5"/>
      <c r="O484" s="5"/>
      <c r="P484" s="5"/>
      <c r="Q484" s="5"/>
      <c r="R484" s="5"/>
      <c r="S484" s="5"/>
      <c r="T484" s="5"/>
      <c r="U484" s="5"/>
    </row>
    <row r="485" ht="19.5" customHeight="1">
      <c r="A485" s="4"/>
      <c r="B485" s="4"/>
      <c r="C485" s="4" t="s">
        <v>1732</v>
      </c>
      <c r="D485" s="4" t="s">
        <v>1733</v>
      </c>
      <c r="E485" s="4" t="s">
        <v>1734</v>
      </c>
      <c r="F485" s="4" t="s">
        <v>1735</v>
      </c>
      <c r="G485" s="4" t="s">
        <v>1736</v>
      </c>
      <c r="H485" s="4" t="s">
        <v>1737</v>
      </c>
      <c r="I485" s="4" t="s">
        <v>1738</v>
      </c>
      <c r="J485" s="4" t="s">
        <v>1739</v>
      </c>
      <c r="K485" s="4" t="s">
        <v>1740</v>
      </c>
      <c r="L485" s="4" t="s">
        <v>1741</v>
      </c>
      <c r="M485" s="5"/>
      <c r="N485" s="5"/>
      <c r="O485" s="5"/>
      <c r="P485" s="5"/>
      <c r="Q485" s="5"/>
      <c r="R485" s="5"/>
      <c r="S485" s="5"/>
      <c r="T485" s="5"/>
      <c r="U485" s="5"/>
    </row>
    <row r="486">
      <c r="A486" s="17" t="s">
        <v>1742</v>
      </c>
      <c r="B486" s="19" t="s">
        <v>1743</v>
      </c>
      <c r="C486" s="42" t="n">
        <v>24413</v>
      </c>
      <c r="D486" s="42" t="n">
        <v>81000</v>
      </c>
      <c r="E486" s="42" t="n">
        <v>395000</v>
      </c>
      <c r="F486" s="42" t="n">
        <v>2472000</v>
      </c>
      <c r="G486" s="42" t="n">
        <v>601000</v>
      </c>
      <c r="H486" s="42" t="n">
        <v>161083</v>
      </c>
      <c r="I486" s="42" t="n">
        <v>142621</v>
      </c>
      <c r="J486" s="42" t="n">
        <v>101532</v>
      </c>
      <c r="K486" s="44" t="n">
        <v>83177</v>
      </c>
      <c r="L486" s="42" t="n">
        <v>10296</v>
      </c>
      <c r="M486" s="5"/>
      <c r="N486" s="5"/>
      <c r="O486" s="5"/>
      <c r="P486" s="5"/>
      <c r="Q486" s="5"/>
      <c r="R486" s="5"/>
      <c r="S486" s="5"/>
      <c r="T486" s="5"/>
      <c r="U486" s="5"/>
    </row>
    <row r="487">
      <c r="A487" s="17"/>
      <c r="B487" s="19" t="s">
        <v>1744</v>
      </c>
      <c r="C487" s="42"/>
      <c r="D487" s="42" t="n">
        <v>2729</v>
      </c>
      <c r="E487" s="42" t="n">
        <v>8447</v>
      </c>
      <c r="F487" s="42" t="n">
        <v>29000</v>
      </c>
      <c r="G487" s="42" t="n">
        <v>14000</v>
      </c>
      <c r="H487" s="42" t="n">
        <v>6500</v>
      </c>
      <c r="I487" s="42" t="n">
        <v>1728</v>
      </c>
      <c r="J487" s="42" t="n">
        <v>2720</v>
      </c>
      <c r="K487" s="42" t="n">
        <v>733</v>
      </c>
      <c r="L487" s="42" t="n">
        <v>45</v>
      </c>
      <c r="M487" s="5"/>
      <c r="N487" s="5"/>
      <c r="O487" s="5"/>
      <c r="P487" s="5"/>
      <c r="Q487" s="5"/>
      <c r="R487" s="5"/>
      <c r="S487" s="5"/>
      <c r="T487" s="5"/>
      <c r="U487" s="5"/>
    </row>
    <row r="488">
      <c r="A488" s="17"/>
      <c r="B488" s="19" t="s">
        <v>1745</v>
      </c>
      <c r="C488" s="42" t="n">
        <v>1625224</v>
      </c>
      <c r="D488" s="42" t="n">
        <v>10375</v>
      </c>
      <c r="E488" s="42" t="n">
        <v>28038</v>
      </c>
      <c r="F488" s="42" t="n">
        <v>171000</v>
      </c>
      <c r="G488" s="42" t="n">
        <v>90000</v>
      </c>
      <c r="H488" s="42" t="n">
        <v>66000</v>
      </c>
      <c r="I488" s="44" t="n">
        <v>912023</v>
      </c>
      <c r="J488" s="42" t="n">
        <v>95965</v>
      </c>
      <c r="K488" s="42" t="n">
        <v>349092</v>
      </c>
      <c r="L488" s="42" t="n">
        <v>83187</v>
      </c>
      <c r="M488" s="5"/>
      <c r="N488" s="5"/>
      <c r="O488" s="5"/>
      <c r="P488" s="5"/>
      <c r="Q488" s="5"/>
      <c r="R488" s="5"/>
      <c r="S488" s="5"/>
      <c r="T488" s="5"/>
      <c r="U488" s="5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5"/>
      <c r="N489" s="5"/>
      <c r="O489" s="5"/>
      <c r="P489" s="5"/>
      <c r="Q489" s="5"/>
      <c r="R489" s="5"/>
      <c r="S489" s="5"/>
      <c r="T489" s="5"/>
      <c r="U489" s="5"/>
    </row>
    <row r="490">
      <c r="A490" s="17" t="s">
        <v>1746</v>
      </c>
      <c r="B490" s="19" t="s">
        <v>1747</v>
      </c>
      <c r="C490" s="42" t="n">
        <v>23336</v>
      </c>
      <c r="D490" s="42" t="n">
        <v>28000</v>
      </c>
      <c r="E490" s="42" t="n">
        <v>295000</v>
      </c>
      <c r="F490" s="42" t="n">
        <v>2837000</v>
      </c>
      <c r="G490" s="42" t="n">
        <v>463000</v>
      </c>
      <c r="H490" s="42" t="n">
        <v>186152</v>
      </c>
      <c r="I490" s="42" t="n">
        <v>106774</v>
      </c>
      <c r="J490" s="42" t="n">
        <v>123033</v>
      </c>
      <c r="K490" s="44" t="n">
        <v>64812</v>
      </c>
      <c r="L490" s="42" t="n">
        <v>14018</v>
      </c>
      <c r="M490" s="5"/>
      <c r="N490" s="5"/>
      <c r="O490" s="5"/>
      <c r="P490" s="5"/>
      <c r="Q490" s="5"/>
      <c r="R490" s="5"/>
      <c r="S490" s="5"/>
      <c r="T490" s="5"/>
      <c r="U490" s="5"/>
    </row>
    <row r="491">
      <c r="A491" s="17"/>
      <c r="B491" s="19" t="s">
        <v>1748</v>
      </c>
      <c r="C491" s="42"/>
      <c r="D491" s="42" t="n">
        <v>774</v>
      </c>
      <c r="E491" s="42" t="n">
        <v>5343</v>
      </c>
      <c r="F491" s="42" t="n">
        <v>34000</v>
      </c>
      <c r="G491" s="42" t="n">
        <v>6250</v>
      </c>
      <c r="H491" s="42" t="n">
        <v>7297</v>
      </c>
      <c r="I491" s="42" t="n">
        <v>513</v>
      </c>
      <c r="J491" s="42" t="n">
        <v>1812</v>
      </c>
      <c r="K491" s="42" t="n">
        <v>457</v>
      </c>
      <c r="L491" s="42" t="n">
        <v>66</v>
      </c>
      <c r="M491" s="5"/>
      <c r="N491" s="5"/>
      <c r="O491" s="5"/>
      <c r="P491" s="5"/>
      <c r="Q491" s="5"/>
      <c r="R491" s="5"/>
      <c r="S491" s="5"/>
      <c r="T491" s="5"/>
      <c r="U491" s="5"/>
    </row>
    <row r="492">
      <c r="A492" s="17"/>
      <c r="B492" s="19" t="s">
        <v>1749</v>
      </c>
      <c r="C492" s="42" t="n">
        <v>1625348</v>
      </c>
      <c r="D492" s="42" t="n">
        <v>10054</v>
      </c>
      <c r="E492" s="42" t="n">
        <v>27815</v>
      </c>
      <c r="F492" s="42" t="n">
        <v>164000</v>
      </c>
      <c r="G492" s="46" t="n">
        <v>87000</v>
      </c>
      <c r="H492" s="42" t="n">
        <v>63000</v>
      </c>
      <c r="I492" s="44" t="n">
        <v>910138</v>
      </c>
      <c r="J492" s="42" t="n">
        <v>94930</v>
      </c>
      <c r="K492" s="42" t="n">
        <v>348810</v>
      </c>
      <c r="L492" s="42" t="n">
        <v>83162</v>
      </c>
      <c r="M492" s="5"/>
      <c r="N492" s="5"/>
      <c r="O492" s="5"/>
      <c r="P492" s="5"/>
      <c r="Q492" s="5"/>
      <c r="R492" s="5"/>
      <c r="S492" s="5"/>
      <c r="T492" s="5"/>
      <c r="U492" s="5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5"/>
      <c r="N493" s="5"/>
      <c r="O493" s="5"/>
      <c r="P493" s="5"/>
      <c r="Q493" s="5"/>
      <c r="R493" s="5"/>
      <c r="S493" s="5"/>
      <c r="T493" s="5"/>
      <c r="U493" s="5"/>
    </row>
    <row r="494">
      <c r="A494" s="4"/>
      <c r="B494" s="4"/>
      <c r="C494" s="4" t="s">
        <v>1750</v>
      </c>
      <c r="D494" s="4" t="s">
        <v>1751</v>
      </c>
      <c r="E494" s="4" t="s">
        <v>1752</v>
      </c>
      <c r="F494" s="4" t="s">
        <v>1753</v>
      </c>
      <c r="G494" s="4" t="s">
        <v>1754</v>
      </c>
      <c r="H494" s="4" t="s">
        <v>1755</v>
      </c>
      <c r="I494" s="4" t="s">
        <v>1756</v>
      </c>
      <c r="J494" s="4" t="s">
        <v>1757</v>
      </c>
      <c r="K494" s="4" t="s">
        <v>1758</v>
      </c>
      <c r="L494" s="4" t="s">
        <v>1759</v>
      </c>
      <c r="M494" s="5"/>
      <c r="N494" s="5"/>
      <c r="O494" s="5"/>
      <c r="P494" s="5"/>
      <c r="Q494" s="5"/>
      <c r="R494" s="5"/>
      <c r="S494" s="5"/>
      <c r="T494" s="5"/>
      <c r="U494" s="5"/>
    </row>
    <row r="495">
      <c r="A495" s="17" t="s">
        <v>1760</v>
      </c>
      <c r="B495" s="19" t="s">
        <v>1761</v>
      </c>
      <c r="C495" s="42" t="n">
        <v>14996</v>
      </c>
      <c r="D495" s="42" t="n">
        <v>53000</v>
      </c>
      <c r="E495" s="42" t="n">
        <v>184000</v>
      </c>
      <c r="F495" s="42" t="n">
        <v>3632000</v>
      </c>
      <c r="G495" s="42" t="n">
        <v>249000</v>
      </c>
      <c r="H495" s="42" t="n">
        <v>176182</v>
      </c>
      <c r="I495" s="42" t="n">
        <v>155530</v>
      </c>
      <c r="J495" s="42" t="n">
        <v>157110</v>
      </c>
      <c r="K495" s="44" t="n">
        <v>75657</v>
      </c>
      <c r="L495" s="42" t="n">
        <v>10994</v>
      </c>
      <c r="M495" s="5"/>
      <c r="N495" s="5"/>
      <c r="O495" s="5"/>
      <c r="P495" s="5"/>
      <c r="Q495" s="5"/>
      <c r="R495" s="5"/>
      <c r="S495" s="5"/>
      <c r="T495" s="5"/>
      <c r="U495" s="5"/>
    </row>
    <row r="496">
      <c r="A496" s="17"/>
      <c r="B496" s="19" t="s">
        <v>1762</v>
      </c>
      <c r="C496" s="42"/>
      <c r="D496" s="42" t="n">
        <v>1241</v>
      </c>
      <c r="E496" s="42" t="n">
        <v>7277</v>
      </c>
      <c r="F496" s="42" t="n">
        <v>57000</v>
      </c>
      <c r="G496" s="42" t="n">
        <v>5953</v>
      </c>
      <c r="H496" s="42" t="n">
        <v>6163</v>
      </c>
      <c r="I496" s="42" t="n">
        <v>1653</v>
      </c>
      <c r="J496" s="42" t="n">
        <v>2713</v>
      </c>
      <c r="K496" s="42" t="n">
        <v>951</v>
      </c>
      <c r="L496" s="42" t="n">
        <v>23</v>
      </c>
      <c r="M496" s="5"/>
      <c r="N496" s="5"/>
      <c r="O496" s="5"/>
      <c r="P496" s="5"/>
      <c r="Q496" s="5"/>
      <c r="R496" s="5"/>
      <c r="S496" s="5"/>
      <c r="T496" s="5"/>
      <c r="U496" s="5"/>
    </row>
    <row r="497">
      <c r="A497" s="17"/>
      <c r="B497" s="19" t="s">
        <v>1763</v>
      </c>
      <c r="C497" s="42" t="n">
        <v>1625426</v>
      </c>
      <c r="D497" s="42" t="n">
        <v>9780</v>
      </c>
      <c r="E497" s="42" t="n">
        <v>27616</v>
      </c>
      <c r="F497" s="42" t="n">
        <v>153000</v>
      </c>
      <c r="G497" s="42" t="n">
        <v>84000</v>
      </c>
      <c r="H497" s="42" t="n">
        <v>60000</v>
      </c>
      <c r="I497" s="44" t="n">
        <v>908476</v>
      </c>
      <c r="J497" s="42" t="n">
        <v>94123</v>
      </c>
      <c r="K497" s="42" t="n">
        <v>348681</v>
      </c>
      <c r="L497" s="42" t="n">
        <v>83137</v>
      </c>
      <c r="M497" s="5"/>
      <c r="N497" s="5"/>
      <c r="O497" s="5"/>
      <c r="P497" s="5"/>
      <c r="Q497" s="5"/>
      <c r="R497" s="5"/>
      <c r="S497" s="5"/>
      <c r="T497" s="5"/>
      <c r="U497" s="5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5"/>
      <c r="N498" s="5"/>
      <c r="O498" s="5"/>
      <c r="P498" s="5"/>
      <c r="Q498" s="5"/>
      <c r="R498" s="5"/>
      <c r="S498" s="5"/>
      <c r="T498" s="5"/>
      <c r="U498" s="5"/>
    </row>
    <row r="499">
      <c r="A499" s="4"/>
      <c r="B499" s="4"/>
      <c r="C499" s="4" t="s">
        <v>1764</v>
      </c>
      <c r="D499" s="4" t="s">
        <v>1765</v>
      </c>
      <c r="E499" s="4" t="s">
        <v>1766</v>
      </c>
      <c r="F499" s="4" t="s">
        <v>1767</v>
      </c>
      <c r="G499" s="4" t="s">
        <v>1768</v>
      </c>
      <c r="H499" s="4" t="s">
        <v>1769</v>
      </c>
      <c r="I499" s="4" t="s">
        <v>1770</v>
      </c>
      <c r="J499" s="4" t="s">
        <v>1771</v>
      </c>
      <c r="K499" s="4" t="s">
        <v>1772</v>
      </c>
      <c r="L499" s="4" t="s">
        <v>1773</v>
      </c>
      <c r="M499" s="5"/>
      <c r="N499" s="5"/>
      <c r="O499" s="5"/>
      <c r="P499" s="5"/>
      <c r="Q499" s="5"/>
      <c r="R499" s="5"/>
      <c r="S499" s="5"/>
      <c r="T499" s="5"/>
      <c r="U499" s="5"/>
    </row>
    <row r="500">
      <c r="A500" s="17" t="s">
        <v>1774</v>
      </c>
      <c r="B500" s="19" t="s">
        <v>1775</v>
      </c>
      <c r="C500" s="42" t="n">
        <v>102876</v>
      </c>
      <c r="D500" s="42" t="n">
        <v>177000</v>
      </c>
      <c r="E500" s="42" t="n">
        <v>219000</v>
      </c>
      <c r="F500" s="42" t="n">
        <v>333000</v>
      </c>
      <c r="G500" s="42" t="n">
        <v>596000</v>
      </c>
      <c r="H500" s="42" t="n">
        <v>330365</v>
      </c>
      <c r="I500" s="42" t="n">
        <v>506397</v>
      </c>
      <c r="J500" s="42" t="n">
        <v>396535</v>
      </c>
      <c r="K500" s="44" t="n">
        <v>434612</v>
      </c>
      <c r="L500" s="42" t="n">
        <v>11018</v>
      </c>
      <c r="M500" s="5"/>
      <c r="N500" s="5"/>
      <c r="O500" s="5"/>
      <c r="P500" s="5"/>
      <c r="Q500" s="5"/>
      <c r="R500" s="5"/>
      <c r="S500" s="5"/>
      <c r="T500" s="5"/>
      <c r="U500" s="5"/>
    </row>
    <row r="501">
      <c r="A501" s="17"/>
      <c r="B501" s="19" t="s">
        <v>1776</v>
      </c>
      <c r="C501" s="42"/>
      <c r="D501" s="42" t="n">
        <v>4043</v>
      </c>
      <c r="E501" s="42" t="n">
        <v>6986</v>
      </c>
      <c r="F501" s="42" t="n">
        <v>21000</v>
      </c>
      <c r="G501" s="42" t="n">
        <v>12000</v>
      </c>
      <c r="H501" s="42" t="n">
        <v>12000</v>
      </c>
      <c r="I501" s="42" t="n">
        <v>4572</v>
      </c>
      <c r="J501" s="42" t="n">
        <v>6316</v>
      </c>
      <c r="K501" s="42" t="n">
        <v>5770</v>
      </c>
      <c r="L501" s="42" t="n">
        <v>57</v>
      </c>
      <c r="M501" s="5"/>
      <c r="N501" s="5"/>
      <c r="O501" s="5"/>
      <c r="P501" s="5"/>
      <c r="Q501" s="5"/>
      <c r="R501" s="5"/>
      <c r="S501" s="5"/>
      <c r="T501" s="5"/>
      <c r="U501" s="5"/>
    </row>
    <row r="502">
      <c r="A502" s="17"/>
      <c r="B502" s="19" t="s">
        <v>1777</v>
      </c>
      <c r="C502" s="42" t="n">
        <v>1625487</v>
      </c>
      <c r="D502" s="42" t="n">
        <v>9703</v>
      </c>
      <c r="E502" s="42" t="n">
        <v>27337</v>
      </c>
      <c r="F502" s="42" t="n">
        <v>139000</v>
      </c>
      <c r="G502" s="42" t="n">
        <v>82000</v>
      </c>
      <c r="H502" s="42" t="n">
        <v>59000</v>
      </c>
      <c r="I502" s="44" t="n">
        <v>907325</v>
      </c>
      <c r="J502" s="42" t="n">
        <v>92998</v>
      </c>
      <c r="K502" s="42" t="n">
        <v>348480</v>
      </c>
      <c r="L502" s="42" t="n">
        <v>83118</v>
      </c>
      <c r="M502" s="5"/>
      <c r="N502" s="5"/>
      <c r="O502" s="5"/>
      <c r="P502" s="5"/>
      <c r="Q502" s="5"/>
      <c r="R502" s="5"/>
      <c r="S502" s="5"/>
      <c r="T502" s="5"/>
      <c r="U502" s="5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5"/>
      <c r="N503" s="5"/>
      <c r="O503" s="5"/>
      <c r="P503" s="5"/>
      <c r="Q503" s="5"/>
      <c r="R503" s="5"/>
      <c r="S503" s="5"/>
      <c r="T503" s="5"/>
      <c r="U503" s="5"/>
    </row>
    <row r="504">
      <c r="A504" s="4"/>
      <c r="B504" s="4"/>
      <c r="C504" s="4" t="s">
        <v>1778</v>
      </c>
      <c r="D504" s="4" t="s">
        <v>1779</v>
      </c>
      <c r="E504" s="4" t="s">
        <v>1780</v>
      </c>
      <c r="F504" s="4" t="s">
        <v>1781</v>
      </c>
      <c r="G504" s="4" t="s">
        <v>1782</v>
      </c>
      <c r="H504" s="4" t="s">
        <v>1783</v>
      </c>
      <c r="I504" s="4" t="s">
        <v>1784</v>
      </c>
      <c r="J504" s="4" t="s">
        <v>1785</v>
      </c>
      <c r="K504" s="4" t="s">
        <v>1786</v>
      </c>
      <c r="L504" s="4" t="s">
        <v>1787</v>
      </c>
      <c r="M504" s="5"/>
      <c r="N504" s="5"/>
      <c r="O504" s="5"/>
      <c r="P504" s="5"/>
      <c r="Q504" s="5"/>
      <c r="R504" s="5"/>
      <c r="S504" s="5"/>
      <c r="T504" s="5"/>
      <c r="U504" s="5"/>
    </row>
    <row r="505">
      <c r="A505" s="17" t="s">
        <v>1788</v>
      </c>
      <c r="B505" s="19" t="s">
        <v>1789</v>
      </c>
      <c r="C505" s="44" t="n">
        <v>43941</v>
      </c>
      <c r="D505" s="44" t="n">
        <v>232000</v>
      </c>
      <c r="E505" s="44" t="n">
        <v>126000</v>
      </c>
      <c r="F505" s="44" t="n">
        <v>381000</v>
      </c>
      <c r="G505" s="44" t="n">
        <v>419000</v>
      </c>
      <c r="H505" s="44" t="n">
        <v>238545</v>
      </c>
      <c r="I505" s="42" t="n">
        <v>88215</v>
      </c>
      <c r="J505" s="44" t="n">
        <v>49129</v>
      </c>
      <c r="K505" s="44" t="n">
        <v>138297</v>
      </c>
      <c r="L505" s="44" t="n">
        <v>11972</v>
      </c>
      <c r="M505" s="5"/>
      <c r="N505" s="5"/>
      <c r="O505" s="5"/>
      <c r="P505" s="5"/>
      <c r="Q505" s="5"/>
      <c r="R505" s="5"/>
      <c r="S505" s="5"/>
      <c r="T505" s="5"/>
      <c r="U505" s="5"/>
    </row>
    <row r="506">
      <c r="A506" s="17"/>
      <c r="B506" s="19" t="s">
        <v>1790</v>
      </c>
      <c r="C506" s="44"/>
      <c r="D506" s="44" t="n">
        <v>6475</v>
      </c>
      <c r="E506" s="44" t="n">
        <v>4265</v>
      </c>
      <c r="F506" s="44" t="n">
        <v>2500</v>
      </c>
      <c r="G506" s="44" t="n">
        <v>11460</v>
      </c>
      <c r="H506" s="44" t="n">
        <v>9181</v>
      </c>
      <c r="I506" s="42" t="n">
        <v>1242</v>
      </c>
      <c r="J506" s="44" t="n">
        <v>810</v>
      </c>
      <c r="K506" s="44" t="n">
        <v>5143</v>
      </c>
      <c r="L506" s="44" t="n">
        <v>43</v>
      </c>
      <c r="M506" s="5"/>
      <c r="N506" s="5"/>
      <c r="O506" s="5"/>
      <c r="P506" s="5"/>
      <c r="Q506" s="5"/>
      <c r="R506" s="5"/>
      <c r="S506" s="5"/>
      <c r="T506" s="5"/>
      <c r="U506" s="5"/>
    </row>
    <row r="507">
      <c r="A507" s="17"/>
      <c r="B507" s="19" t="s">
        <v>1791</v>
      </c>
      <c r="C507" s="44" t="n">
        <v>1625526</v>
      </c>
      <c r="D507" s="44" t="n">
        <v>9609</v>
      </c>
      <c r="E507" s="44" t="n">
        <v>27148</v>
      </c>
      <c r="F507" s="44" t="n">
        <v>139000</v>
      </c>
      <c r="G507" s="44" t="n">
        <v>79000</v>
      </c>
      <c r="H507" s="44" t="n">
        <v>56000</v>
      </c>
      <c r="I507" s="42" t="n">
        <v>905062</v>
      </c>
      <c r="J507" s="44" t="n">
        <v>91209</v>
      </c>
      <c r="K507" s="44" t="n">
        <v>352031</v>
      </c>
      <c r="L507" s="44" t="n">
        <v>83087</v>
      </c>
      <c r="M507" s="5"/>
      <c r="N507" s="5"/>
      <c r="O507" s="5"/>
      <c r="P507" s="5"/>
      <c r="Q507" s="5"/>
      <c r="R507" s="5"/>
      <c r="S507" s="5"/>
      <c r="T507" s="5"/>
      <c r="U507" s="5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5"/>
      <c r="N508" s="5"/>
      <c r="O508" s="5"/>
      <c r="P508" s="5"/>
      <c r="Q508" s="5"/>
      <c r="R508" s="5"/>
      <c r="S508" s="5"/>
      <c r="T508" s="5"/>
      <c r="U508" s="5"/>
    </row>
    <row r="509">
      <c r="A509" s="17" t="s">
        <v>1792</v>
      </c>
      <c r="B509" s="19" t="s">
        <v>1793</v>
      </c>
      <c r="C509" s="44" t="n">
        <v>60773</v>
      </c>
      <c r="D509" s="44" t="n">
        <v>214000</v>
      </c>
      <c r="E509" s="44" t="n">
        <v>123000</v>
      </c>
      <c r="F509" s="44" t="n">
        <v>1016000</v>
      </c>
      <c r="G509" s="44" t="n">
        <v>325000</v>
      </c>
      <c r="H509" s="44" t="n">
        <v>327030</v>
      </c>
      <c r="I509" s="42" t="n">
        <v>162735</v>
      </c>
      <c r="J509" s="44" t="n">
        <v>141262</v>
      </c>
      <c r="K509" s="44" t="n">
        <v>392631</v>
      </c>
      <c r="L509" s="44" t="n">
        <v>14371</v>
      </c>
      <c r="M509" s="5"/>
      <c r="N509" s="5"/>
      <c r="O509" s="5"/>
      <c r="P509" s="5"/>
      <c r="Q509" s="5"/>
      <c r="R509" s="5"/>
      <c r="S509" s="5"/>
      <c r="T509" s="5"/>
      <c r="U509" s="5"/>
    </row>
    <row r="510">
      <c r="A510" s="17"/>
      <c r="B510" s="19" t="s">
        <v>1794</v>
      </c>
      <c r="C510" s="44"/>
      <c r="D510" s="44" t="n">
        <v>8383</v>
      </c>
      <c r="E510" s="44" t="n">
        <v>5281</v>
      </c>
      <c r="F510" s="44" t="n">
        <v>17223</v>
      </c>
      <c r="G510" s="44" t="n">
        <v>7933</v>
      </c>
      <c r="H510" s="44" t="n">
        <v>11184</v>
      </c>
      <c r="I510" s="42" t="n">
        <v>1636</v>
      </c>
      <c r="J510" s="44" t="n">
        <v>2321</v>
      </c>
      <c r="K510" s="44" t="n">
        <v>3958</v>
      </c>
      <c r="L510" s="44" t="n">
        <v>23</v>
      </c>
      <c r="M510" s="5"/>
      <c r="N510" s="5"/>
      <c r="O510" s="5"/>
      <c r="P510" s="5"/>
      <c r="Q510" s="5"/>
      <c r="R510" s="5"/>
      <c r="S510" s="5"/>
      <c r="T510" s="5"/>
      <c r="U510" s="5"/>
    </row>
    <row r="511">
      <c r="A511" s="17"/>
      <c r="B511" s="19" t="s">
        <v>1795</v>
      </c>
      <c r="C511" s="44" t="n">
        <v>1625697</v>
      </c>
      <c r="D511" s="44" t="n">
        <v>9425</v>
      </c>
      <c r="E511" s="44" t="n">
        <v>26991</v>
      </c>
      <c r="F511" s="44" t="n">
        <v>136000</v>
      </c>
      <c r="G511" s="44" t="n">
        <v>76000</v>
      </c>
      <c r="H511" s="44" t="n">
        <v>51000</v>
      </c>
      <c r="I511" s="44" t="n">
        <v>904456</v>
      </c>
      <c r="J511" s="44" t="n">
        <v>90807</v>
      </c>
      <c r="K511" s="44" t="n">
        <v>348399</v>
      </c>
      <c r="L511" s="44" t="n">
        <v>83046</v>
      </c>
      <c r="M511" s="5"/>
      <c r="N511" s="5"/>
      <c r="O511" s="5"/>
      <c r="P511" s="5"/>
      <c r="Q511" s="5"/>
      <c r="R511" s="5"/>
      <c r="S511" s="5"/>
      <c r="T511" s="5"/>
      <c r="U511" s="5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5"/>
      <c r="N512" s="5"/>
      <c r="O512" s="5"/>
      <c r="P512" s="5"/>
      <c r="Q512" s="5"/>
      <c r="R512" s="5"/>
      <c r="S512" s="5"/>
      <c r="T512" s="5"/>
      <c r="U512" s="5"/>
    </row>
    <row r="513">
      <c r="A513" s="17" t="s">
        <v>1796</v>
      </c>
      <c r="B513" s="19" t="s">
        <v>1797</v>
      </c>
      <c r="C513" s="44" t="n">
        <v>21248</v>
      </c>
      <c r="D513" s="44" t="n">
        <v>554000</v>
      </c>
      <c r="E513" s="44" t="n">
        <v>115000</v>
      </c>
      <c r="F513" s="44" t="n">
        <v>1033000</v>
      </c>
      <c r="G513" s="44" t="n">
        <v>143000</v>
      </c>
      <c r="H513" s="44" t="n">
        <v>186083</v>
      </c>
      <c r="I513" s="42" t="n">
        <v>127927</v>
      </c>
      <c r="J513" s="44" t="n">
        <v>93267</v>
      </c>
      <c r="K513" s="44" t="n">
        <v>186616</v>
      </c>
      <c r="L513" s="44" t="n">
        <v>14791</v>
      </c>
      <c r="M513" s="5"/>
      <c r="N513" s="5"/>
      <c r="O513" s="5"/>
      <c r="P513" s="5"/>
      <c r="Q513" s="5"/>
      <c r="R513" s="5"/>
      <c r="S513" s="5"/>
      <c r="T513" s="5"/>
      <c r="U513" s="5"/>
    </row>
    <row r="514">
      <c r="A514" s="17"/>
      <c r="B514" s="19" t="s">
        <v>1798</v>
      </c>
      <c r="C514" s="44"/>
      <c r="D514" s="44" t="n">
        <v>12297</v>
      </c>
      <c r="E514" s="44" t="n">
        <v>4771</v>
      </c>
      <c r="F514" s="44" t="n">
        <v>11873</v>
      </c>
      <c r="G514" s="44" t="n">
        <v>141</v>
      </c>
      <c r="H514" s="44" t="n">
        <v>7075</v>
      </c>
      <c r="I514" s="44" t="s">
        <v>1799</v>
      </c>
      <c r="J514" s="44" t="n">
        <v>987</v>
      </c>
      <c r="K514" s="44" t="n">
        <v>2050</v>
      </c>
      <c r="L514" s="44" t="n">
        <v>17</v>
      </c>
      <c r="M514" s="5"/>
      <c r="N514" s="5"/>
      <c r="O514" s="5"/>
      <c r="P514" s="5"/>
      <c r="Q514" s="5"/>
      <c r="R514" s="5"/>
      <c r="S514" s="5"/>
      <c r="T514" s="5"/>
      <c r="U514" s="5"/>
    </row>
    <row r="515">
      <c r="A515" s="17"/>
      <c r="B515" s="19" t="s">
        <v>1800</v>
      </c>
      <c r="C515" s="44" t="n">
        <v>1625836</v>
      </c>
      <c r="D515" s="44" t="n">
        <v>9318</v>
      </c>
      <c r="E515" s="44" t="n">
        <v>26799</v>
      </c>
      <c r="F515" s="44" t="n">
        <v>132000</v>
      </c>
      <c r="G515" s="44" t="n">
        <v>73000</v>
      </c>
      <c r="H515" s="44" t="n">
        <v>46000</v>
      </c>
      <c r="I515" s="44" t="n">
        <v>903385</v>
      </c>
      <c r="J515" s="44" t="n">
        <v>90138</v>
      </c>
      <c r="K515" s="44" t="n">
        <v>347220</v>
      </c>
      <c r="L515" s="44" t="n">
        <v>82999</v>
      </c>
      <c r="M515" s="5"/>
      <c r="N515" s="5"/>
      <c r="O515" s="5"/>
      <c r="P515" s="5"/>
      <c r="Q515" s="5"/>
      <c r="R515" s="5"/>
      <c r="S515" s="5"/>
      <c r="T515" s="5"/>
      <c r="U515" s="5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5"/>
      <c r="N516" s="5"/>
      <c r="O516" s="5"/>
      <c r="P516" s="5"/>
      <c r="Q516" s="5"/>
      <c r="R516" s="5"/>
      <c r="S516" s="5"/>
      <c r="T516" s="5"/>
      <c r="U516" s="5"/>
    </row>
    <row r="517">
      <c r="A517" s="17" t="s">
        <v>1801</v>
      </c>
      <c r="B517" s="19" t="s">
        <v>1802</v>
      </c>
      <c r="C517" s="45" t="n">
        <v>36881</v>
      </c>
      <c r="D517" s="45" t="n">
        <v>55000</v>
      </c>
      <c r="E517" s="45" t="n">
        <v>98000</v>
      </c>
      <c r="F517" s="45" t="n">
        <v>233000</v>
      </c>
      <c r="G517" s="45" t="n">
        <v>151000</v>
      </c>
      <c r="H517" s="45" t="n">
        <v>243245</v>
      </c>
      <c r="I517" s="45" t="n">
        <v>104392</v>
      </c>
      <c r="J517" s="45" t="n">
        <v>257421</v>
      </c>
      <c r="K517" s="45" t="n">
        <v>191949</v>
      </c>
      <c r="L517" s="45" t="n">
        <v>17688</v>
      </c>
      <c r="M517" s="5"/>
      <c r="N517" s="5"/>
      <c r="O517" s="5"/>
      <c r="P517" s="5"/>
      <c r="Q517" s="5"/>
      <c r="R517" s="5"/>
      <c r="S517" s="5"/>
      <c r="T517" s="5"/>
      <c r="U517" s="5"/>
    </row>
    <row r="518">
      <c r="A518" s="17"/>
      <c r="B518" s="19" t="s">
        <v>1803</v>
      </c>
      <c r="C518" s="45"/>
      <c r="D518" s="45" t="n">
        <v>16428</v>
      </c>
      <c r="E518" s="45" t="n">
        <v>5129</v>
      </c>
      <c r="F518" s="45" t="n">
        <v>2238</v>
      </c>
      <c r="G518" s="45" t="n">
        <v>5908</v>
      </c>
      <c r="H518" s="45" t="n">
        <v>10983</v>
      </c>
      <c r="I518" s="45" t="n">
        <v>780</v>
      </c>
      <c r="J518" s="45" t="n">
        <v>2330</v>
      </c>
      <c r="K518" s="45" t="n">
        <v>2206</v>
      </c>
      <c r="L518" s="45" t="n">
        <v>62</v>
      </c>
      <c r="M518" s="5"/>
      <c r="N518" s="5"/>
      <c r="O518" s="5"/>
      <c r="P518" s="5"/>
      <c r="Q518" s="5"/>
      <c r="R518" s="5"/>
      <c r="S518" s="5"/>
      <c r="T518" s="5"/>
      <c r="U518" s="5"/>
    </row>
    <row r="519">
      <c r="A519" s="17"/>
      <c r="B519" s="19" t="s">
        <v>1804</v>
      </c>
      <c r="C519" s="45" t="n">
        <v>1625980</v>
      </c>
      <c r="D519" s="45" t="n">
        <v>9018</v>
      </c>
      <c r="E519" s="45" t="n">
        <v>26584</v>
      </c>
      <c r="F519" s="45" t="n">
        <v>130000</v>
      </c>
      <c r="G519" s="45" t="n">
        <v>73000</v>
      </c>
      <c r="H519" s="45" t="n">
        <v>43000</v>
      </c>
      <c r="I519" s="45" t="n">
        <v>902411</v>
      </c>
      <c r="J519" s="45" t="n">
        <v>89792</v>
      </c>
      <c r="K519" s="45" t="n">
        <v>347008</v>
      </c>
      <c r="L519" s="45" t="n">
        <v>82971</v>
      </c>
      <c r="M519" s="5"/>
      <c r="N519" s="5"/>
      <c r="O519" s="5"/>
      <c r="P519" s="5"/>
      <c r="Q519" s="5"/>
      <c r="R519" s="5"/>
      <c r="S519" s="5"/>
      <c r="T519" s="5"/>
      <c r="U519" s="5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5"/>
      <c r="N520" s="5"/>
      <c r="O520" s="5"/>
      <c r="P520" s="5"/>
      <c r="Q520" s="5"/>
      <c r="R520" s="5"/>
      <c r="S520" s="5"/>
      <c r="T520" s="5"/>
      <c r="U520" s="5"/>
    </row>
    <row r="521">
      <c r="A521" s="4" t="s">
        <v>1805</v>
      </c>
      <c r="B521" s="47" t="s">
        <v>1806</v>
      </c>
      <c r="C521" s="48" t="n">
        <v>47510</v>
      </c>
      <c r="D521" s="49" t="n">
        <v>59000</v>
      </c>
      <c r="E521" s="49" t="n">
        <v>87000</v>
      </c>
      <c r="F521" s="49" t="n">
        <v>239000</v>
      </c>
      <c r="G521" s="49" t="n">
        <v>383000</v>
      </c>
      <c r="H521" s="49" t="n">
        <v>263564</v>
      </c>
      <c r="I521" s="50" t="n">
        <v>156497</v>
      </c>
      <c r="J521" s="45" t="n">
        <v>435742</v>
      </c>
      <c r="K521" s="45" t="n">
        <v>158166</v>
      </c>
      <c r="L521" s="45" t="n">
        <v>30758</v>
      </c>
      <c r="M521" s="5"/>
      <c r="N521" s="5"/>
      <c r="O521" s="5"/>
      <c r="P521" s="5"/>
      <c r="Q521" s="5"/>
      <c r="R521" s="5"/>
      <c r="S521" s="5"/>
      <c r="T521" s="5"/>
      <c r="U521" s="5"/>
    </row>
    <row r="522">
      <c r="A522" s="4"/>
      <c r="B522" s="47" t="s">
        <v>1807</v>
      </c>
      <c r="C522" s="48"/>
      <c r="D522" s="49" t="n">
        <v>2195</v>
      </c>
      <c r="E522" s="49" t="n">
        <v>3852</v>
      </c>
      <c r="F522" s="49" t="n">
        <v>2480</v>
      </c>
      <c r="G522" s="49" t="n">
        <v>9974</v>
      </c>
      <c r="H522" s="49" t="n">
        <v>10717</v>
      </c>
      <c r="I522" s="50" t="n">
        <v>1449</v>
      </c>
      <c r="J522" s="45" t="n">
        <v>5621</v>
      </c>
      <c r="K522" s="45" t="n">
        <v>1516</v>
      </c>
      <c r="L522" s="45" t="n">
        <v>22</v>
      </c>
      <c r="M522" s="5"/>
      <c r="N522" s="5"/>
      <c r="O522" s="5"/>
      <c r="P522" s="5"/>
      <c r="Q522" s="5"/>
      <c r="R522" s="5"/>
      <c r="S522" s="5"/>
      <c r="T522" s="5"/>
      <c r="U522" s="5"/>
    </row>
    <row r="523">
      <c r="A523" s="4"/>
      <c r="B523" s="47" t="s">
        <v>1808</v>
      </c>
      <c r="C523" s="48" t="n">
        <v>1626202</v>
      </c>
      <c r="D523" s="49" t="n">
        <v>8949</v>
      </c>
      <c r="E523" s="49" t="n">
        <v>26339</v>
      </c>
      <c r="F523" s="49" t="n">
        <v>130000</v>
      </c>
      <c r="G523" s="49" t="n">
        <v>72000</v>
      </c>
      <c r="H523" s="49" t="n">
        <v>37000</v>
      </c>
      <c r="I523" s="50" t="n">
        <v>901550</v>
      </c>
      <c r="J523" s="45" t="n">
        <v>89205</v>
      </c>
      <c r="K523" s="45" t="n">
        <v>346838</v>
      </c>
      <c r="L523" s="45" t="n">
        <v>82949</v>
      </c>
      <c r="M523" s="5"/>
      <c r="N523" s="5"/>
      <c r="O523" s="5"/>
      <c r="P523" s="5"/>
      <c r="Q523" s="5"/>
      <c r="R523" s="5"/>
      <c r="S523" s="5"/>
      <c r="T523" s="5"/>
      <c r="U523" s="5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5"/>
      <c r="N524" s="5"/>
      <c r="O524" s="5"/>
      <c r="P524" s="5"/>
      <c r="Q524" s="5"/>
      <c r="R524" s="5"/>
      <c r="S524" s="5"/>
      <c r="T524" s="5"/>
      <c r="U524" s="5"/>
    </row>
    <row r="525">
      <c r="A525" s="4" t="s">
        <v>1809</v>
      </c>
      <c r="B525" s="47" t="s">
        <v>1810</v>
      </c>
      <c r="C525" s="48" t="n">
        <v>20589</v>
      </c>
      <c r="D525" s="49" t="n">
        <v>56000</v>
      </c>
      <c r="E525" s="49" t="n">
        <v>127000</v>
      </c>
      <c r="F525" s="49" t="n">
        <v>263000</v>
      </c>
      <c r="G525" s="49" t="n">
        <v>193000</v>
      </c>
      <c r="H525" s="49" t="n">
        <v>230629</v>
      </c>
      <c r="I525" s="50" t="n">
        <v>174195</v>
      </c>
      <c r="J525" s="45" t="n">
        <v>396078</v>
      </c>
      <c r="K525" s="45" t="n">
        <v>205663</v>
      </c>
      <c r="L525" s="45" t="n">
        <v>30290</v>
      </c>
      <c r="M525" s="5"/>
      <c r="N525" s="5"/>
      <c r="O525" s="5"/>
      <c r="P525" s="5"/>
      <c r="Q525" s="5"/>
      <c r="R525" s="5"/>
      <c r="S525" s="5"/>
      <c r="T525" s="5"/>
      <c r="U525" s="5"/>
    </row>
    <row r="526">
      <c r="A526" s="4"/>
      <c r="B526" s="47" t="s">
        <v>1811</v>
      </c>
      <c r="C526" s="48"/>
      <c r="D526" s="49" t="n">
        <v>1609</v>
      </c>
      <c r="E526" s="49" t="n">
        <v>4552</v>
      </c>
      <c r="F526" s="49" t="n">
        <v>4375</v>
      </c>
      <c r="G526" s="49" t="n">
        <v>5761</v>
      </c>
      <c r="H526" s="49" t="n">
        <v>9289</v>
      </c>
      <c r="I526" s="50" t="n">
        <v>1236</v>
      </c>
      <c r="J526" s="45" t="n">
        <v>3279</v>
      </c>
      <c r="K526" s="45" t="n">
        <v>714</v>
      </c>
      <c r="L526" s="45" t="n">
        <v>17</v>
      </c>
      <c r="M526" s="5"/>
      <c r="N526" s="5"/>
      <c r="O526" s="5"/>
      <c r="P526" s="5"/>
      <c r="Q526" s="5"/>
      <c r="R526" s="5"/>
      <c r="S526" s="5"/>
      <c r="T526" s="5"/>
      <c r="U526" s="5"/>
    </row>
    <row r="527">
      <c r="A527" s="4"/>
      <c r="B527" s="47" t="s">
        <v>1812</v>
      </c>
      <c r="C527" s="48" t="n">
        <v>1626502</v>
      </c>
      <c r="D527" s="49" t="n">
        <v>8892</v>
      </c>
      <c r="E527" s="49" t="n">
        <v>26183</v>
      </c>
      <c r="F527" s="49" t="n">
        <v>130000</v>
      </c>
      <c r="G527" s="49" t="n">
        <v>72000</v>
      </c>
      <c r="H527" s="49" t="n">
        <v>34000</v>
      </c>
      <c r="I527" s="50" t="n">
        <v>900191</v>
      </c>
      <c r="J527" s="45" t="n">
        <v>87935</v>
      </c>
      <c r="K527" s="45" t="n">
        <v>346609</v>
      </c>
      <c r="L527" s="45" t="n">
        <v>82905</v>
      </c>
      <c r="M527" s="5"/>
      <c r="N527" s="5"/>
      <c r="O527" s="5"/>
      <c r="P527" s="5"/>
      <c r="Q527" s="5"/>
      <c r="R527" s="5"/>
      <c r="S527" s="5"/>
      <c r="T527" s="5"/>
      <c r="U527" s="5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5"/>
      <c r="N528" s="5"/>
      <c r="O528" s="5"/>
      <c r="P528" s="5"/>
      <c r="Q528" s="5"/>
      <c r="R528" s="5"/>
      <c r="S528" s="5"/>
      <c r="T528" s="5"/>
      <c r="U528" s="5"/>
    </row>
    <row r="529">
      <c r="A529" s="4" t="s">
        <v>1813</v>
      </c>
      <c r="B529" s="47" t="s">
        <v>1814</v>
      </c>
      <c r="C529" s="48" t="n">
        <v>18293</v>
      </c>
      <c r="D529" s="49" t="n">
        <v>6571</v>
      </c>
      <c r="E529" s="49" t="n">
        <v>144000</v>
      </c>
      <c r="F529" s="49" t="n">
        <v>196000</v>
      </c>
      <c r="G529" s="49" t="n">
        <v>412000</v>
      </c>
      <c r="H529" s="49" t="n">
        <v>239664</v>
      </c>
      <c r="I529" s="50" t="n">
        <v>218514</v>
      </c>
      <c r="J529" s="45" t="n">
        <v>876818</v>
      </c>
      <c r="K529" s="45" t="n">
        <v>542159</v>
      </c>
      <c r="L529" s="45" t="n">
        <v>51963</v>
      </c>
      <c r="M529" s="5"/>
      <c r="N529" s="5"/>
      <c r="O529" s="5"/>
      <c r="P529" s="5"/>
      <c r="Q529" s="5"/>
      <c r="R529" s="5"/>
      <c r="S529" s="5"/>
      <c r="T529" s="5"/>
      <c r="U529" s="5"/>
    </row>
    <row r="530">
      <c r="A530" s="4"/>
      <c r="B530" s="47" t="s">
        <v>1815</v>
      </c>
      <c r="C530" s="49"/>
      <c r="D530" s="49" t="n">
        <v>389</v>
      </c>
      <c r="E530" s="49" t="n">
        <v>5387</v>
      </c>
      <c r="F530" s="49" t="n">
        <v>3400</v>
      </c>
      <c r="G530" s="49" t="n">
        <v>9567</v>
      </c>
      <c r="H530" s="49" t="n">
        <v>7976</v>
      </c>
      <c r="I530" s="50" t="n">
        <v>1804</v>
      </c>
      <c r="J530" s="45" t="n">
        <v>2045</v>
      </c>
      <c r="K530" s="45" t="n">
        <v>14159</v>
      </c>
      <c r="L530" s="45" t="n">
        <v>21</v>
      </c>
      <c r="M530" s="5"/>
      <c r="N530" s="5"/>
      <c r="O530" s="5"/>
      <c r="P530" s="5"/>
      <c r="Q530" s="5"/>
      <c r="R530" s="5"/>
      <c r="S530" s="5"/>
      <c r="T530" s="5"/>
      <c r="U530" s="5"/>
    </row>
    <row r="531">
      <c r="A531" s="4"/>
      <c r="B531" s="47" t="s">
        <v>1816</v>
      </c>
      <c r="C531" s="49" t="n">
        <v>1626766</v>
      </c>
      <c r="D531" s="49" t="n">
        <v>8804</v>
      </c>
      <c r="E531" s="49" t="n">
        <v>26022</v>
      </c>
      <c r="F531" s="49" t="n">
        <v>129000</v>
      </c>
      <c r="G531" s="49" t="n">
        <v>70000</v>
      </c>
      <c r="H531" s="49" t="n">
        <v>29000</v>
      </c>
      <c r="I531" s="50" t="n">
        <v>899249</v>
      </c>
      <c r="J531" s="45" t="n">
        <v>86655</v>
      </c>
      <c r="K531" s="45" t="n">
        <v>346424</v>
      </c>
      <c r="L531" s="45" t="n">
        <v>82876</v>
      </c>
      <c r="M531" s="5"/>
      <c r="N531" s="5"/>
      <c r="O531" s="5"/>
      <c r="P531" s="5"/>
      <c r="Q531" s="5"/>
      <c r="R531" s="5"/>
      <c r="S531" s="5"/>
      <c r="T531" s="5"/>
      <c r="U531" s="5"/>
    </row>
    <row r="532">
      <c r="A532" s="51"/>
      <c r="B532" s="52"/>
      <c r="C532" s="53"/>
      <c r="D532" s="53"/>
      <c r="E532" s="53"/>
      <c r="F532" s="53"/>
      <c r="G532" s="53"/>
      <c r="H532" s="53"/>
      <c r="I532" s="54"/>
      <c r="J532" s="55"/>
      <c r="K532" s="55"/>
      <c r="L532" s="55"/>
      <c r="M532" s="5"/>
      <c r="N532" s="5"/>
      <c r="O532" s="5"/>
      <c r="P532" s="5"/>
      <c r="Q532" s="5"/>
      <c r="R532" s="5"/>
      <c r="S532" s="5"/>
      <c r="T532" s="5"/>
      <c r="U532" s="5"/>
    </row>
    <row r="533">
      <c r="A533" s="4" t="s">
        <v>1817</v>
      </c>
      <c r="B533" s="47" t="s">
        <v>1818</v>
      </c>
      <c r="C533" s="49" t="n">
        <v>42352</v>
      </c>
      <c r="D533" s="49" t="n">
        <v>11000</v>
      </c>
      <c r="E533" s="49" t="n">
        <v>279000</v>
      </c>
      <c r="F533" s="49" t="n">
        <v>321000</v>
      </c>
      <c r="G533" s="49" t="n">
        <v>454000</v>
      </c>
      <c r="H533" s="49" t="n">
        <v>370000</v>
      </c>
      <c r="I533" s="50" t="n">
        <v>96347</v>
      </c>
      <c r="J533" s="45" t="n">
        <v>1131097</v>
      </c>
      <c r="K533" s="45" t="n">
        <v>264459</v>
      </c>
      <c r="L533" s="45" t="n">
        <v>80604</v>
      </c>
      <c r="M533" s="5"/>
      <c r="N533" s="5"/>
      <c r="O533" s="5"/>
      <c r="P533" s="5"/>
      <c r="Q533" s="5"/>
      <c r="R533" s="5"/>
      <c r="S533" s="5"/>
      <c r="T533" s="5"/>
      <c r="U533" s="5"/>
    </row>
    <row r="534">
      <c r="A534" s="4"/>
      <c r="B534" s="47" t="s">
        <v>1819</v>
      </c>
      <c r="C534" s="49"/>
      <c r="D534" s="49" t="n">
        <v>334</v>
      </c>
      <c r="E534" s="49" t="n">
        <v>8940</v>
      </c>
      <c r="F534" s="49" t="n">
        <v>5160</v>
      </c>
      <c r="G534" s="49" t="n">
        <v>7148</v>
      </c>
      <c r="H534" s="49" t="n">
        <v>14021</v>
      </c>
      <c r="I534" s="50" t="n">
        <v>719</v>
      </c>
      <c r="J534" s="45" t="n">
        <v>8289</v>
      </c>
      <c r="K534" s="45" t="n">
        <v>915</v>
      </c>
      <c r="L534" s="45" t="n">
        <v>43</v>
      </c>
      <c r="M534" s="5"/>
      <c r="N534" s="5"/>
      <c r="O534" s="5"/>
      <c r="P534" s="5"/>
      <c r="Q534" s="5"/>
      <c r="R534" s="5"/>
      <c r="S534" s="5"/>
      <c r="T534" s="5"/>
      <c r="U534" s="5"/>
    </row>
    <row r="535">
      <c r="A535" s="4"/>
      <c r="B535" s="47" t="s">
        <v>1820</v>
      </c>
      <c r="C535" s="49" t="n">
        <v>1626932</v>
      </c>
      <c r="D535" s="49" t="n">
        <v>8776</v>
      </c>
      <c r="E535" s="49" t="n">
        <v>25916</v>
      </c>
      <c r="F535" s="49" t="n">
        <v>129000</v>
      </c>
      <c r="G535" s="49" t="n">
        <v>69000</v>
      </c>
      <c r="H535" s="49" t="n">
        <v>25000</v>
      </c>
      <c r="I535" s="50" t="n">
        <v>897903</v>
      </c>
      <c r="J535" s="45" t="n">
        <v>85256</v>
      </c>
      <c r="K535" s="45" t="n">
        <v>345649</v>
      </c>
      <c r="L535" s="45" t="n">
        <v>82831</v>
      </c>
      <c r="M535" s="5"/>
      <c r="N535" s="5"/>
      <c r="O535" s="5"/>
      <c r="P535" s="5"/>
      <c r="Q535" s="5"/>
      <c r="R535" s="5"/>
      <c r="S535" s="5"/>
      <c r="T535" s="5"/>
      <c r="U535" s="5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5"/>
      <c r="N536" s="5"/>
      <c r="O536" s="5"/>
      <c r="P536" s="5"/>
      <c r="Q536" s="5"/>
      <c r="R536" s="5"/>
      <c r="S536" s="5"/>
      <c r="T536" s="5"/>
      <c r="U536" s="5"/>
    </row>
    <row r="537">
      <c r="A537" s="4" t="s">
        <v>1821</v>
      </c>
      <c r="B537" s="47" t="s">
        <v>1822</v>
      </c>
      <c r="C537" s="49" t="n">
        <v>143815</v>
      </c>
      <c r="D537" s="49" t="n">
        <v>9774</v>
      </c>
      <c r="E537" s="49" t="n">
        <v>538000</v>
      </c>
      <c r="F537" s="49" t="n">
        <v>401000</v>
      </c>
      <c r="G537" s="49" t="n">
        <v>355000</v>
      </c>
      <c r="H537" s="49" t="n">
        <v>805871</v>
      </c>
      <c r="I537" s="50" t="n">
        <v>83519</v>
      </c>
      <c r="J537" s="45" t="n">
        <v>897824</v>
      </c>
      <c r="K537" s="45" t="n">
        <v>365141</v>
      </c>
      <c r="L537" s="45" t="n">
        <v>56446</v>
      </c>
      <c r="M537" s="5"/>
      <c r="N537" s="5"/>
      <c r="O537" s="5"/>
      <c r="P537" s="5"/>
      <c r="Q537" s="5"/>
      <c r="R537" s="5"/>
      <c r="S537" s="5"/>
      <c r="T537" s="5"/>
      <c r="U537" s="5"/>
    </row>
    <row r="538">
      <c r="A538" s="4"/>
      <c r="B538" s="47" t="s">
        <v>1823</v>
      </c>
      <c r="C538" s="49"/>
      <c r="D538" s="49" t="n">
        <v>332</v>
      </c>
      <c r="E538" s="49" t="n">
        <v>17289</v>
      </c>
      <c r="F538" s="49" t="n">
        <v>8984</v>
      </c>
      <c r="G538" s="49" t="n">
        <v>7570</v>
      </c>
      <c r="H538" s="49" t="n">
        <v>26229</v>
      </c>
      <c r="I538" s="50" t="n">
        <v>577</v>
      </c>
      <c r="J538" s="45" t="n">
        <v>7491</v>
      </c>
      <c r="K538" s="45" t="n">
        <v>6783</v>
      </c>
      <c r="L538" s="45" t="n">
        <v>21</v>
      </c>
      <c r="M538" s="5"/>
      <c r="N538" s="5"/>
      <c r="O538" s="5"/>
      <c r="P538" s="5"/>
      <c r="Q538" s="5"/>
      <c r="R538" s="5"/>
      <c r="S538" s="5"/>
      <c r="T538" s="5"/>
      <c r="U538" s="5"/>
    </row>
    <row r="539">
      <c r="A539" s="4"/>
      <c r="B539" s="47" t="s">
        <v>1824</v>
      </c>
      <c r="C539" s="49" t="s">
        <v>1825</v>
      </c>
      <c r="D539" s="49" t="n">
        <v>8739</v>
      </c>
      <c r="E539" s="49" t="n">
        <v>25722</v>
      </c>
      <c r="F539" s="49" t="s">
        <v>1826</v>
      </c>
      <c r="G539" s="49" t="n">
        <v>67000</v>
      </c>
      <c r="H539" s="49" t="s">
        <v>1827</v>
      </c>
      <c r="I539" s="50" t="n">
        <v>896696</v>
      </c>
      <c r="J539" s="45" t="n">
        <v>83703</v>
      </c>
      <c r="K539" s="45" t="n">
        <v>345417</v>
      </c>
      <c r="L539" s="45" t="n">
        <v>82801</v>
      </c>
      <c r="M539" s="5"/>
      <c r="N539" s="5"/>
      <c r="O539" s="5"/>
      <c r="P539" s="5"/>
      <c r="Q539" s="5"/>
      <c r="R539" s="5"/>
      <c r="S539" s="5"/>
      <c r="T539" s="5"/>
      <c r="U539" s="5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5"/>
      <c r="N540" s="5"/>
      <c r="O540" s="5"/>
      <c r="P540" s="5"/>
      <c r="Q540" s="5"/>
      <c r="R540" s="5"/>
      <c r="S540" s="5"/>
      <c r="T540" s="5"/>
      <c r="U540" s="5"/>
    </row>
    <row r="541">
      <c r="A541" s="4" t="s">
        <v>1828</v>
      </c>
      <c r="B541" s="47" t="s">
        <v>1829</v>
      </c>
      <c r="C541" s="49" t="n">
        <v>18722</v>
      </c>
      <c r="D541" s="49" t="n">
        <v>13000</v>
      </c>
      <c r="E541" s="49" t="n">
        <v>114000</v>
      </c>
      <c r="F541" s="49" t="n">
        <v>174000</v>
      </c>
      <c r="G541" s="49" t="n">
        <v>14000</v>
      </c>
      <c r="H541" s="49" t="n">
        <v>856606</v>
      </c>
      <c r="I541" s="50" t="n">
        <v>76091</v>
      </c>
      <c r="J541" s="45" t="n">
        <v>373647</v>
      </c>
      <c r="K541" s="45" t="n">
        <v>67393</v>
      </c>
      <c r="L541" s="45" t="n">
        <v>70458</v>
      </c>
      <c r="M541" s="5"/>
      <c r="N541" s="5"/>
      <c r="O541" s="5"/>
      <c r="P541" s="5"/>
      <c r="Q541" s="5"/>
      <c r="R541" s="5"/>
      <c r="S541" s="5"/>
      <c r="T541" s="5"/>
      <c r="U541" s="5"/>
    </row>
    <row r="542">
      <c r="A542" s="4"/>
      <c r="B542" s="47" t="s">
        <v>1830</v>
      </c>
      <c r="C542" s="49"/>
      <c r="D542" s="49" t="n">
        <v>360</v>
      </c>
      <c r="E542" s="49" t="n">
        <v>4274</v>
      </c>
      <c r="F542" s="49" t="n">
        <v>2350</v>
      </c>
      <c r="G542" s="49" t="n">
        <v>2363</v>
      </c>
      <c r="H542" s="49" t="n">
        <v>27462</v>
      </c>
      <c r="I542" s="50" t="n">
        <v>576</v>
      </c>
      <c r="J542" s="45" t="n">
        <v>5636</v>
      </c>
      <c r="K542" s="45" t="n">
        <v>377</v>
      </c>
      <c r="L542" s="45" t="n">
        <v>27</v>
      </c>
      <c r="M542" s="5"/>
      <c r="N542" s="5"/>
      <c r="O542" s="5"/>
      <c r="P542" s="5"/>
      <c r="Q542" s="5"/>
      <c r="R542" s="5"/>
      <c r="S542" s="5"/>
      <c r="T542" s="5"/>
      <c r="U542" s="5"/>
    </row>
    <row r="543">
      <c r="A543" s="4"/>
      <c r="B543" s="47" t="s">
        <v>1831</v>
      </c>
      <c r="C543" s="49" t="n">
        <v>162.7</v>
      </c>
      <c r="D543" s="49" t="n">
        <v>8730</v>
      </c>
      <c r="E543" s="49" t="n">
        <v>25431</v>
      </c>
      <c r="F543" s="49" t="n">
        <v>127000</v>
      </c>
      <c r="G543" s="49" t="n">
        <v>65000</v>
      </c>
      <c r="H543" s="49" t="n">
        <v>12000</v>
      </c>
      <c r="I543" s="45" t="n">
        <v>895832</v>
      </c>
      <c r="J543" s="45" t="n">
        <v>82118</v>
      </c>
      <c r="K543" s="45" t="n">
        <v>344990</v>
      </c>
      <c r="L543" s="45" t="n">
        <v>82756</v>
      </c>
      <c r="M543" s="5"/>
      <c r="N543" s="5"/>
      <c r="O543" s="5"/>
      <c r="P543" s="5"/>
      <c r="Q543" s="5"/>
      <c r="R543" s="5"/>
      <c r="S543" s="5"/>
      <c r="T543" s="5"/>
      <c r="U543" s="5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N544" s="5"/>
      <c r="O544" s="5"/>
      <c r="P544" s="5"/>
      <c r="Q544" s="5"/>
      <c r="R544" s="5"/>
      <c r="S544" s="5"/>
      <c r="T544" s="5"/>
      <c r="U544" s="5"/>
    </row>
    <row r="545">
      <c r="A545" s="4" t="s">
        <v>1832</v>
      </c>
      <c r="B545" s="47" t="s">
        <v>1833</v>
      </c>
      <c r="C545" s="49" t="n">
        <v>28108</v>
      </c>
      <c r="D545" s="49" t="n">
        <v>39000</v>
      </c>
      <c r="E545" s="49" t="n">
        <v>354000</v>
      </c>
      <c r="F545" s="49" t="n">
        <v>683000</v>
      </c>
      <c r="G545" s="49" t="n">
        <v>844000</v>
      </c>
      <c r="H545" s="49" t="n">
        <v>151868</v>
      </c>
      <c r="I545" s="45" t="n">
        <v>147484</v>
      </c>
      <c r="J545" s="45" t="n">
        <v>297101</v>
      </c>
      <c r="K545" s="45" t="n">
        <v>143969</v>
      </c>
      <c r="L545" s="45" t="n">
        <v>87354</v>
      </c>
      <c r="M545" s="5"/>
      <c r="N545" s="5"/>
      <c r="O545" s="5"/>
      <c r="P545" s="5"/>
      <c r="Q545" s="5"/>
      <c r="R545" s="5"/>
      <c r="S545" s="5"/>
      <c r="T545" s="5"/>
      <c r="U545" s="5"/>
    </row>
    <row r="546">
      <c r="A546" s="4"/>
      <c r="B546" s="47" t="s">
        <v>1834</v>
      </c>
      <c r="C546" s="49"/>
      <c r="D546" s="49" t="n">
        <v>1095</v>
      </c>
      <c r="E546" s="49" t="n">
        <v>14260</v>
      </c>
      <c r="F546" s="49" t="n">
        <v>14517</v>
      </c>
      <c r="G546" s="49" t="n">
        <v>10854</v>
      </c>
      <c r="H546" s="49" t="n">
        <v>6785</v>
      </c>
      <c r="I546" s="45" t="n">
        <v>1209</v>
      </c>
      <c r="J546" s="45" t="n">
        <v>5953</v>
      </c>
      <c r="K546" s="45" t="n">
        <v>1532</v>
      </c>
      <c r="L546" s="45" t="n">
        <v>44</v>
      </c>
      <c r="M546" s="5"/>
      <c r="N546" s="5"/>
      <c r="O546" s="5"/>
      <c r="P546" s="5"/>
      <c r="Q546" s="5"/>
      <c r="R546" s="5"/>
      <c r="S546" s="5"/>
      <c r="T546" s="5"/>
      <c r="U546" s="5"/>
    </row>
    <row r="547">
      <c r="A547" s="4"/>
      <c r="B547" s="47" t="s">
        <v>1835</v>
      </c>
      <c r="C547" s="49" t="s">
        <v>1836</v>
      </c>
      <c r="D547" s="49" t="n">
        <v>8714</v>
      </c>
      <c r="E547" s="49" t="n">
        <v>25339</v>
      </c>
      <c r="F547" s="49" t="n">
        <v>124000</v>
      </c>
      <c r="G547" s="49" t="n">
        <v>65000</v>
      </c>
      <c r="H547" s="49" t="n">
        <v>2254</v>
      </c>
      <c r="I547" s="45" t="n">
        <v>893563</v>
      </c>
      <c r="J547" s="45" t="n">
        <v>80588</v>
      </c>
      <c r="K547" s="45" t="n">
        <v>344650</v>
      </c>
      <c r="L547" s="45" t="n">
        <v>82740</v>
      </c>
      <c r="M547" s="5"/>
      <c r="N547" s="5"/>
      <c r="O547" s="5"/>
      <c r="P547" s="5"/>
      <c r="Q547" s="5"/>
      <c r="R547" s="5"/>
      <c r="S547" s="5"/>
      <c r="T547" s="5"/>
      <c r="U547" s="5"/>
    </row>
    <row r="548">
      <c r="A548" s="4" t="s">
        <v>1837</v>
      </c>
      <c r="B548" s="47" t="s">
        <v>1838</v>
      </c>
      <c r="C548" s="49" t="n">
        <v>18433</v>
      </c>
      <c r="D548" s="49" t="n">
        <v>41000</v>
      </c>
      <c r="E548" s="49" t="n">
        <v>151000</v>
      </c>
      <c r="F548" s="49" t="n">
        <v>2267000</v>
      </c>
      <c r="G548" s="49" t="n">
        <v>3546000</v>
      </c>
      <c r="H548" s="49"/>
      <c r="I548" s="45" t="n">
        <v>774490</v>
      </c>
      <c r="J548" s="45" t="n">
        <v>154025</v>
      </c>
      <c r="K548" s="45" t="n">
        <v>183596</v>
      </c>
      <c r="L548" s="45" t="n">
        <v>45344</v>
      </c>
      <c r="M548" s="5"/>
      <c r="N548" s="5"/>
      <c r="O548" s="5"/>
      <c r="P548" s="5"/>
      <c r="Q548" s="5"/>
      <c r="R548" s="5"/>
      <c r="S548" s="5"/>
      <c r="T548" s="5"/>
      <c r="U548" s="5"/>
    </row>
    <row r="549">
      <c r="A549" s="4"/>
      <c r="B549" s="47" t="s">
        <v>1839</v>
      </c>
      <c r="C549" s="49"/>
      <c r="D549" s="49" t="n">
        <v>1106</v>
      </c>
      <c r="E549" s="49" t="n">
        <v>8820</v>
      </c>
      <c r="F549" s="49" t="n">
        <v>44000</v>
      </c>
      <c r="G549" s="49" t="n">
        <v>34000</v>
      </c>
      <c r="H549" s="49"/>
      <c r="I549" s="45" t="n">
        <v>9623</v>
      </c>
      <c r="J549" s="45" t="n">
        <v>3022</v>
      </c>
      <c r="K549" s="45" t="n">
        <v>3254</v>
      </c>
      <c r="L549" s="45" t="n">
        <v>28</v>
      </c>
      <c r="M549" s="5"/>
      <c r="N549" s="5"/>
      <c r="O549" s="5"/>
      <c r="P549" s="5"/>
      <c r="Q549" s="5"/>
      <c r="R549" s="5"/>
      <c r="S549" s="5"/>
      <c r="T549" s="5"/>
      <c r="U549" s="5"/>
    </row>
    <row r="550">
      <c r="A550" s="4"/>
      <c r="B550" s="47" t="s">
        <v>1840</v>
      </c>
      <c r="C550" s="49" t="s">
        <v>1841</v>
      </c>
      <c r="D550" s="49" t="n">
        <v>8659</v>
      </c>
      <c r="E550" s="49" t="n">
        <v>25134</v>
      </c>
      <c r="F550" s="49" t="s">
        <v>1842</v>
      </c>
      <c r="G550" s="49" t="n">
        <v>62000</v>
      </c>
      <c r="H550" s="49"/>
      <c r="I550" s="45" t="n">
        <v>891558</v>
      </c>
      <c r="J550" s="45" t="n">
        <v>79646</v>
      </c>
      <c r="K550" s="45" t="n">
        <v>344397</v>
      </c>
      <c r="L550" s="45" t="n">
        <v>82711</v>
      </c>
      <c r="M550" s="5"/>
      <c r="N550" s="5"/>
      <c r="O550" s="5"/>
      <c r="P550" s="5"/>
      <c r="Q550" s="5"/>
      <c r="R550" s="5"/>
      <c r="S550" s="5"/>
      <c r="T550" s="5"/>
      <c r="U550" s="5"/>
    </row>
    <row r="551">
      <c r="A551" s="4" t="s">
        <v>1843</v>
      </c>
      <c r="B551" s="47" t="s">
        <v>1844</v>
      </c>
      <c r="C551" s="49" t="n">
        <v>83000</v>
      </c>
      <c r="D551" s="49" t="n">
        <v>100000</v>
      </c>
      <c r="E551" s="49" t="n">
        <v>165000</v>
      </c>
      <c r="F551" s="49" t="n">
        <v>12373000</v>
      </c>
      <c r="G551" s="49" t="n">
        <v>1938000</v>
      </c>
      <c r="H551" s="49"/>
      <c r="I551" s="45" t="n">
        <v>295080</v>
      </c>
      <c r="J551" s="45" t="n">
        <v>56338</v>
      </c>
      <c r="K551" s="45" t="n">
        <v>663104</v>
      </c>
      <c r="L551" s="45" t="n">
        <v>17340</v>
      </c>
      <c r="M551" s="5"/>
      <c r="N551" s="5"/>
      <c r="O551" s="5"/>
      <c r="P551" s="5"/>
      <c r="Q551" s="5"/>
      <c r="R551" s="5"/>
      <c r="S551" s="5"/>
      <c r="T551" s="5"/>
      <c r="U551" s="5"/>
    </row>
    <row r="552">
      <c r="A552" s="4"/>
      <c r="B552" s="47" t="s">
        <v>1845</v>
      </c>
      <c r="C552" s="49"/>
      <c r="D552" s="49" t="n">
        <v>1975</v>
      </c>
      <c r="E552" s="49" t="n">
        <v>10274</v>
      </c>
      <c r="F552" s="49" t="s">
        <v>1846</v>
      </c>
      <c r="G552" s="49" t="n">
        <v>54796</v>
      </c>
      <c r="H552" s="49"/>
      <c r="I552" s="45" t="s">
        <v>1847</v>
      </c>
      <c r="J552" s="45" t="n">
        <v>2007</v>
      </c>
      <c r="K552" s="45" t="n">
        <v>8712</v>
      </c>
      <c r="L552" s="45" t="n">
        <v>19</v>
      </c>
      <c r="M552" s="5"/>
      <c r="N552" s="5"/>
      <c r="O552" s="5"/>
      <c r="P552" s="5"/>
      <c r="Q552" s="5"/>
      <c r="R552" s="5"/>
      <c r="S552" s="5"/>
      <c r="T552" s="5"/>
      <c r="U552" s="5"/>
    </row>
    <row r="553">
      <c r="A553" s="4"/>
      <c r="B553" s="47" t="s">
        <v>1848</v>
      </c>
      <c r="C553" s="49" t="s">
        <v>1849</v>
      </c>
      <c r="D553" s="49" t="n">
        <v>8500</v>
      </c>
      <c r="E553" s="49" t="n">
        <v>24955</v>
      </c>
      <c r="F553" s="49" t="s">
        <v>1850</v>
      </c>
      <c r="G553" s="49" t="s">
        <v>1851</v>
      </c>
      <c r="H553" s="49"/>
      <c r="I553" s="45" t="n">
        <v>888255</v>
      </c>
      <c r="J553" s="45" t="n">
        <v>78853</v>
      </c>
      <c r="K553" s="45" t="n">
        <v>344193</v>
      </c>
      <c r="L553" s="45" t="n">
        <v>82697</v>
      </c>
      <c r="M553" s="5"/>
      <c r="N553" s="5"/>
      <c r="O553" s="5"/>
      <c r="P553" s="5"/>
      <c r="Q553" s="5"/>
      <c r="R553" s="5"/>
      <c r="S553" s="5"/>
      <c r="T553" s="5"/>
      <c r="U553" s="5"/>
    </row>
    <row r="554">
      <c r="A554" s="4" t="s">
        <v>1852</v>
      </c>
      <c r="B554" s="47" t="s">
        <v>1853</v>
      </c>
      <c r="C554" s="49" t="n">
        <v>0</v>
      </c>
      <c r="D554" s="49" t="n">
        <v>40000</v>
      </c>
      <c r="E554" s="49" t="n">
        <v>70000</v>
      </c>
      <c r="F554" s="49" t="n">
        <v>924000</v>
      </c>
      <c r="G554" s="49" t="n">
        <v>412000</v>
      </c>
      <c r="H554" s="49"/>
      <c r="I554" s="45" t="n">
        <v>46603</v>
      </c>
      <c r="J554" s="45" t="n">
        <v>48550</v>
      </c>
      <c r="K554" s="45" t="n">
        <v>376168</v>
      </c>
      <c r="L554" s="45" t="n">
        <v>12897</v>
      </c>
      <c r="M554" s="5"/>
      <c r="N554" s="5"/>
      <c r="O554" s="5"/>
      <c r="P554" s="5"/>
      <c r="Q554" s="5"/>
      <c r="R554" s="5"/>
      <c r="S554" s="5"/>
      <c r="T554" s="5"/>
      <c r="U554" s="5"/>
    </row>
    <row r="555">
      <c r="A555" s="4"/>
      <c r="B555" s="47" t="s">
        <v>1854</v>
      </c>
      <c r="C555" s="49" t="n">
        <v>0</v>
      </c>
      <c r="D555" s="49" t="n">
        <v>849</v>
      </c>
      <c r="E555" s="49" t="n">
        <v>2094</v>
      </c>
      <c r="F555" s="49" t="n">
        <v>16962</v>
      </c>
      <c r="G555" s="49" t="n">
        <v>3423</v>
      </c>
      <c r="H555" s="49"/>
      <c r="I555" s="45" t="n">
        <v>797</v>
      </c>
      <c r="J555" s="45" t="n">
        <v>2125</v>
      </c>
      <c r="K555" s="45" t="n">
        <v>3566</v>
      </c>
      <c r="L555" s="45" t="n">
        <v>10</v>
      </c>
      <c r="M555" s="5"/>
      <c r="N555" s="5"/>
      <c r="O555" s="5"/>
      <c r="P555" s="5"/>
      <c r="Q555" s="5"/>
      <c r="R555" s="5"/>
      <c r="S555" s="5"/>
      <c r="T555" s="5"/>
      <c r="U555" s="5"/>
    </row>
    <row r="556">
      <c r="A556" s="4"/>
      <c r="B556" s="47" t="s">
        <v>1855</v>
      </c>
      <c r="C556" s="49" t="s">
        <v>1856</v>
      </c>
      <c r="D556" s="49" t="n">
        <v>8212</v>
      </c>
      <c r="E556" s="49" t="n">
        <v>24846</v>
      </c>
      <c r="F556" s="49" t="n">
        <v>100000</v>
      </c>
      <c r="G556" s="49" t="n">
        <v>56000</v>
      </c>
      <c r="H556" s="49"/>
      <c r="I556" s="45" t="n">
        <v>885852</v>
      </c>
      <c r="J556" s="45" t="n">
        <v>77867</v>
      </c>
      <c r="K556" s="45" t="n">
        <v>343345</v>
      </c>
      <c r="L556" s="45" t="n">
        <v>82665</v>
      </c>
      <c r="M556" s="5"/>
      <c r="N556" s="5"/>
      <c r="O556" s="5"/>
      <c r="P556" s="5"/>
      <c r="Q556" s="5"/>
      <c r="R556" s="5"/>
      <c r="S556" s="5"/>
      <c r="T556" s="5"/>
      <c r="U556" s="5"/>
    </row>
    <row r="557">
      <c r="A557" s="4" t="s">
        <v>1857</v>
      </c>
      <c r="B557" s="47" t="s">
        <v>1858</v>
      </c>
      <c r="C557" s="49" t="n">
        <v>18862</v>
      </c>
      <c r="D557" s="49" t="n">
        <v>26000</v>
      </c>
      <c r="E557" s="49" t="n">
        <v>116000</v>
      </c>
      <c r="F557" s="49" t="n">
        <v>10094000</v>
      </c>
      <c r="G557" s="49" t="n">
        <v>927000</v>
      </c>
      <c r="H557" s="49"/>
      <c r="I557" s="50" t="n">
        <v>211744</v>
      </c>
      <c r="J557" s="45" t="n">
        <v>84158</v>
      </c>
      <c r="K557" s="45" t="n">
        <v>59011</v>
      </c>
      <c r="L557" s="45" t="n">
        <v>14970</v>
      </c>
      <c r="M557" s="5"/>
      <c r="N557" s="5"/>
      <c r="O557" s="5"/>
      <c r="P557" s="5"/>
      <c r="Q557" s="5"/>
      <c r="R557" s="5"/>
      <c r="S557" s="5"/>
      <c r="T557" s="5"/>
      <c r="U557" s="5"/>
    </row>
    <row r="558">
      <c r="A558" s="4"/>
      <c r="B558" s="47" t="s">
        <v>1859</v>
      </c>
      <c r="C558" s="49"/>
      <c r="D558" s="49" t="n">
        <v>1217</v>
      </c>
      <c r="E558" s="49" t="n">
        <v>5578</v>
      </c>
      <c r="F558" s="49" t="s">
        <v>1860</v>
      </c>
      <c r="G558" s="49" t="n">
        <v>4347</v>
      </c>
      <c r="H558" s="49"/>
      <c r="I558" s="50" t="s">
        <v>1861</v>
      </c>
      <c r="J558" s="45" t="n">
        <v>1369</v>
      </c>
      <c r="K558" s="45" t="n">
        <v>75</v>
      </c>
      <c r="L558" s="45" t="n">
        <v>14</v>
      </c>
      <c r="M558" s="5"/>
      <c r="N558" s="5"/>
      <c r="O558" s="5"/>
      <c r="P558" s="5"/>
      <c r="Q558" s="5"/>
      <c r="R558" s="5"/>
      <c r="S558" s="5"/>
      <c r="T558" s="5"/>
      <c r="U558" s="5"/>
    </row>
    <row r="559">
      <c r="A559" s="4"/>
      <c r="B559" s="47" t="s">
        <v>1862</v>
      </c>
      <c r="C559" s="49" t="s">
        <v>1863</v>
      </c>
      <c r="D559" s="49" t="n">
        <v>7893</v>
      </c>
      <c r="E559" s="49" t="n">
        <v>24783</v>
      </c>
      <c r="F559" s="49" t="n">
        <v>96000</v>
      </c>
      <c r="G559" s="49" t="n">
        <v>54000</v>
      </c>
      <c r="H559" s="49"/>
      <c r="I559" s="50" t="n">
        <v>884942</v>
      </c>
      <c r="J559" s="45" t="n">
        <v>77131</v>
      </c>
      <c r="K559" s="45" t="n">
        <v>342677</v>
      </c>
      <c r="L559" s="45" t="n">
        <v>82615</v>
      </c>
      <c r="M559" s="5"/>
      <c r="N559" s="5"/>
      <c r="O559" s="5"/>
      <c r="P559" s="5"/>
      <c r="Q559" s="5"/>
      <c r="R559" s="5"/>
      <c r="S559" s="5"/>
      <c r="T559" s="5"/>
      <c r="U559" s="5"/>
    </row>
    <row r="560">
      <c r="A560" s="4" t="s">
        <v>1864</v>
      </c>
      <c r="B560" s="47" t="s">
        <v>1865</v>
      </c>
      <c r="C560" s="49" t="n">
        <v>27129</v>
      </c>
      <c r="D560" s="49" t="n">
        <v>16640</v>
      </c>
      <c r="E560" s="49" t="n">
        <v>112000</v>
      </c>
      <c r="F560" s="49" t="n">
        <v>1728000</v>
      </c>
      <c r="G560" s="49" t="n">
        <v>114000</v>
      </c>
      <c r="H560" s="49"/>
      <c r="I560" s="50" t="n">
        <v>64729</v>
      </c>
      <c r="J560" s="45" t="n">
        <v>114685</v>
      </c>
      <c r="K560" s="45" t="n">
        <v>18858</v>
      </c>
      <c r="L560" s="45" t="n">
        <v>30758</v>
      </c>
      <c r="M560" s="5"/>
      <c r="N560" s="5"/>
      <c r="O560" s="5"/>
      <c r="P560" s="5"/>
      <c r="Q560" s="5"/>
      <c r="R560" s="5"/>
      <c r="S560" s="5"/>
      <c r="T560" s="5"/>
      <c r="U560" s="5"/>
    </row>
    <row r="561">
      <c r="A561" s="4"/>
      <c r="B561" s="47" t="s">
        <v>1866</v>
      </c>
      <c r="C561" s="49"/>
      <c r="D561" s="49" t="n">
        <v>624</v>
      </c>
      <c r="E561" s="49" t="n">
        <v>3858</v>
      </c>
      <c r="F561" s="49" t="n">
        <v>19272</v>
      </c>
      <c r="G561" s="49" t="n">
        <v>2613</v>
      </c>
      <c r="H561" s="49"/>
      <c r="I561" s="50" t="n">
        <v>962</v>
      </c>
      <c r="J561" s="45" t="n">
        <v>1520</v>
      </c>
      <c r="K561" s="45" t="n">
        <v>58</v>
      </c>
      <c r="L561" s="45" t="n">
        <v>22</v>
      </c>
      <c r="M561" s="5"/>
      <c r="N561" s="5"/>
      <c r="O561" s="5"/>
      <c r="P561" s="5"/>
      <c r="Q561" s="5"/>
      <c r="R561" s="5"/>
      <c r="S561" s="5"/>
      <c r="T561" s="5"/>
      <c r="U561" s="5"/>
    </row>
    <row r="562">
      <c r="A562" s="4"/>
      <c r="B562" s="47" t="s">
        <v>1867</v>
      </c>
      <c r="C562" s="49" t="s">
        <v>1868</v>
      </c>
      <c r="D562" s="49" t="n">
        <v>7674</v>
      </c>
      <c r="E562" s="49" t="n">
        <v>24659</v>
      </c>
      <c r="F562" s="49" t="n">
        <v>83000</v>
      </c>
      <c r="G562" s="49" t="n">
        <v>53000</v>
      </c>
      <c r="H562" s="49"/>
      <c r="I562" s="50" t="n">
        <v>884306</v>
      </c>
      <c r="J562" s="45" t="n">
        <v>76510</v>
      </c>
      <c r="K562" s="45" t="n">
        <v>342495</v>
      </c>
      <c r="L562" s="45" t="n">
        <v>82590</v>
      </c>
      <c r="M562" s="5"/>
      <c r="N562" s="5"/>
      <c r="O562" s="5"/>
      <c r="P562" s="5"/>
      <c r="Q562" s="5"/>
      <c r="R562" s="5"/>
      <c r="S562" s="5"/>
      <c r="T562" s="5"/>
      <c r="U562" s="5"/>
    </row>
    <row r="563">
      <c r="A563" s="4" t="s">
        <v>1869</v>
      </c>
      <c r="B563" s="47" t="s">
        <v>1870</v>
      </c>
      <c r="C563" s="49" t="n">
        <v>9875</v>
      </c>
      <c r="D563" s="49" t="n">
        <v>10796</v>
      </c>
      <c r="E563" s="49" t="n">
        <v>411000</v>
      </c>
      <c r="F563" s="49" t="n">
        <v>663000</v>
      </c>
      <c r="G563" s="49" t="n">
        <v>84000</v>
      </c>
      <c r="H563" s="49"/>
      <c r="I563" s="50" t="n">
        <v>61151</v>
      </c>
      <c r="J563" s="45" t="n">
        <v>23266</v>
      </c>
      <c r="K563" s="45" t="n">
        <v>16439</v>
      </c>
      <c r="L563" s="45" t="n">
        <v>16563</v>
      </c>
      <c r="M563" s="5"/>
      <c r="N563" s="5"/>
      <c r="O563" s="5"/>
      <c r="P563" s="5"/>
      <c r="Q563" s="5"/>
      <c r="R563" s="5"/>
      <c r="S563" s="5"/>
      <c r="T563" s="5"/>
      <c r="U563" s="5"/>
    </row>
    <row r="564">
      <c r="A564" s="4"/>
      <c r="B564" s="47" t="s">
        <v>1871</v>
      </c>
      <c r="C564" s="49"/>
      <c r="D564" s="49" t="n">
        <v>469</v>
      </c>
      <c r="E564" s="49" t="n">
        <v>4609</v>
      </c>
      <c r="F564" s="49" t="n">
        <v>12672</v>
      </c>
      <c r="G564" s="49" t="n">
        <v>1863</v>
      </c>
      <c r="H564" s="49"/>
      <c r="I564" s="50" t="n">
        <v>704</v>
      </c>
      <c r="J564" s="45" t="n">
        <v>496</v>
      </c>
      <c r="K564" s="45" t="n">
        <v>44</v>
      </c>
      <c r="L564" s="45" t="n">
        <v>7</v>
      </c>
      <c r="M564" s="5"/>
      <c r="N564" s="5"/>
      <c r="O564" s="5"/>
      <c r="P564" s="5"/>
      <c r="Q564" s="5"/>
      <c r="R564" s="5"/>
      <c r="S564" s="5"/>
      <c r="T564" s="5"/>
      <c r="U564" s="5"/>
    </row>
    <row r="565">
      <c r="A565" s="4"/>
      <c r="B565" s="47" t="s">
        <v>1872</v>
      </c>
      <c r="C565" s="49" t="n">
        <v>1626597</v>
      </c>
      <c r="D565" s="49" t="n">
        <v>7611</v>
      </c>
      <c r="E565" s="49" t="n">
        <v>24470</v>
      </c>
      <c r="F565" s="49" t="n">
        <v>78000</v>
      </c>
      <c r="G565" s="49" t="n">
        <v>52000</v>
      </c>
      <c r="H565" s="49"/>
      <c r="I565" s="50" t="n">
        <v>883551</v>
      </c>
      <c r="J565" s="45" t="n">
        <v>75891</v>
      </c>
      <c r="K565" s="45" t="n">
        <v>342444</v>
      </c>
      <c r="L565" s="45" t="n">
        <v>82573</v>
      </c>
      <c r="M565" s="5"/>
      <c r="N565" s="5"/>
      <c r="O565" s="5"/>
      <c r="P565" s="5"/>
      <c r="Q565" s="5"/>
      <c r="R565" s="5"/>
      <c r="S565" s="5"/>
      <c r="T565" s="5"/>
      <c r="U565" s="5"/>
    </row>
    <row r="566">
      <c r="A566" s="4" t="s">
        <v>1873</v>
      </c>
      <c r="B566" s="47" t="s">
        <v>1874</v>
      </c>
      <c r="C566" s="49" t="n">
        <v>10482</v>
      </c>
      <c r="D566" s="49" t="n">
        <v>27635</v>
      </c>
      <c r="E566" s="49" t="n">
        <v>172000</v>
      </c>
      <c r="F566" s="49" t="n">
        <v>893000</v>
      </c>
      <c r="G566" s="49" t="n">
        <v>118000</v>
      </c>
      <c r="H566" s="49"/>
      <c r="I566" s="50" t="n">
        <v>148116</v>
      </c>
      <c r="J566" s="45" t="n">
        <v>32378</v>
      </c>
      <c r="K566" s="45" t="n">
        <v>43797</v>
      </c>
      <c r="L566" s="45" t="n">
        <v>19220</v>
      </c>
      <c r="M566" s="5"/>
      <c r="N566" s="5"/>
      <c r="O566" s="5"/>
      <c r="P566" s="5"/>
      <c r="Q566" s="5"/>
      <c r="R566" s="5"/>
      <c r="S566" s="5"/>
      <c r="T566" s="5"/>
      <c r="U566" s="5"/>
    </row>
    <row r="567">
      <c r="A567" s="4"/>
      <c r="B567" s="47" t="s">
        <v>1875</v>
      </c>
      <c r="C567" s="49"/>
      <c r="D567" s="49" t="n">
        <v>1201</v>
      </c>
      <c r="E567" s="49" t="n">
        <v>8914</v>
      </c>
      <c r="F567" s="49" t="n">
        <v>20054</v>
      </c>
      <c r="G567" s="49" t="n">
        <v>22821</v>
      </c>
      <c r="H567" s="49"/>
      <c r="I567" s="50" t="n">
        <v>696</v>
      </c>
      <c r="J567" s="45" t="n">
        <v>1291</v>
      </c>
      <c r="K567" s="45" t="n">
        <v>355</v>
      </c>
      <c r="L567" s="45" t="n">
        <v>12</v>
      </c>
      <c r="M567" s="5"/>
      <c r="N567" s="5"/>
      <c r="O567" s="5"/>
      <c r="P567" s="5"/>
      <c r="Q567" s="5"/>
      <c r="R567" s="5"/>
      <c r="S567" s="5"/>
      <c r="T567" s="5"/>
      <c r="U567" s="5"/>
    </row>
    <row r="568">
      <c r="A568" s="4"/>
      <c r="B568" s="47" t="s">
        <v>1876</v>
      </c>
      <c r="C568" s="49" t="n">
        <v>1626529</v>
      </c>
      <c r="D568" s="49" t="n">
        <v>7564</v>
      </c>
      <c r="E568" s="49" t="n">
        <v>24266</v>
      </c>
      <c r="F568" s="49" t="n">
        <v>74000</v>
      </c>
      <c r="G568" s="49" t="n">
        <v>52000</v>
      </c>
      <c r="H568" s="49"/>
      <c r="I568" s="50" t="n">
        <v>882775</v>
      </c>
      <c r="J568" s="45" t="n">
        <v>75702</v>
      </c>
      <c r="K568" s="45" t="n">
        <v>342418</v>
      </c>
      <c r="L568" s="45" t="n">
        <v>82548</v>
      </c>
      <c r="M568" s="5"/>
      <c r="N568" s="5"/>
      <c r="O568" s="5"/>
      <c r="P568" s="5"/>
      <c r="Q568" s="5"/>
      <c r="R568" s="5"/>
      <c r="S568" s="5"/>
      <c r="T568" s="5"/>
      <c r="U568" s="5"/>
    </row>
    <row r="569">
      <c r="A569" s="4"/>
      <c r="B569" s="4"/>
      <c r="C569" s="4" t="s">
        <v>1877</v>
      </c>
      <c r="D569" s="4" t="s">
        <v>1878</v>
      </c>
      <c r="E569" s="4" t="s">
        <v>1879</v>
      </c>
      <c r="F569" s="4" t="s">
        <v>1880</v>
      </c>
      <c r="G569" s="4" t="s">
        <v>1881</v>
      </c>
      <c r="H569" s="4" t="s">
        <v>1882</v>
      </c>
      <c r="I569" s="4" t="s">
        <v>1883</v>
      </c>
      <c r="J569" s="4" t="s">
        <v>1884</v>
      </c>
      <c r="K569" s="4" t="s">
        <v>1885</v>
      </c>
      <c r="L569" s="4" t="s">
        <v>1886</v>
      </c>
      <c r="M569" s="5"/>
      <c r="N569" s="5"/>
      <c r="O569" s="5"/>
      <c r="P569" s="5"/>
      <c r="Q569" s="5"/>
      <c r="R569" s="5"/>
      <c r="S569" s="5"/>
      <c r="T569" s="5"/>
      <c r="U569" s="5"/>
    </row>
    <row r="570">
      <c r="A570" s="56" t="s">
        <v>1887</v>
      </c>
      <c r="B570" s="47" t="s">
        <v>1888</v>
      </c>
      <c r="C570" s="49" t="n">
        <f>SUM(C566,C563,C560,C557,C554,C551,C548,C545,C541,C537,C533,C529,C525)</f>
        <v>439660</v>
      </c>
      <c r="D570" s="49" t="n">
        <f>SUM(D566,D563,D560,D557,D554,D551,D548,D545,D541,D537,D533,D529,D525)</f>
        <v>397416</v>
      </c>
      <c r="E570" s="49" t="n">
        <f>SUM(E566,E563,E560,E557,E554,E551,E548,E545,E541,E537,E533,E529,E525)</f>
        <v>2753000</v>
      </c>
      <c r="F570" s="49" t="n">
        <f>SUM(F566,F563,F560,F557,F554,F551,F548,F545,F541,F537,F533,F529,F525)</f>
        <v>30980000</v>
      </c>
      <c r="G570" s="49" t="n">
        <f>SUM(G566,G563,G560,G557,G554,G551,G548,G545,G541,G537,G533,G529,G525)</f>
        <v>9411000</v>
      </c>
      <c r="H570" s="49" t="n">
        <f>SUM(H566,H563,H560,H557,H554,H551,H548,H545,H541,H537,H533,H529,H525)</f>
        <v>2654638</v>
      </c>
      <c r="I570" s="57" t="n">
        <f>SUM(I566,I563,I560,I557,I554,I551,I548,I545,I541,I537,I533,I529,I525)</f>
        <v>2398063</v>
      </c>
      <c r="J570" s="49" t="n">
        <f>SUM(J566,J563,J560,J557,J554,J551,J548,J545,J541,J537,J533,J529,J525)</f>
        <v>4485965</v>
      </c>
      <c r="K570" s="49" t="n">
        <f>SUM(K566,K563,K560,K557,K554,K551,K548,K545,K541,K537,K533,K529,K525)</f>
        <v>2949757</v>
      </c>
      <c r="L570" s="49" t="n">
        <f>SUM(L566,L563,L560,L557,L554,L551,L548,L545,L541,L537,L533,L529,L525)</f>
        <v>534207</v>
      </c>
      <c r="M570" s="5"/>
      <c r="N570" s="5"/>
      <c r="O570" s="5"/>
      <c r="P570" s="5"/>
      <c r="Q570" s="5"/>
      <c r="R570" s="5"/>
      <c r="S570" s="5"/>
      <c r="T570" s="5"/>
      <c r="U570" s="5"/>
    </row>
    <row r="571">
      <c r="A571" s="56"/>
      <c r="B571" s="47" t="s">
        <v>1889</v>
      </c>
      <c r="C571" s="49" t="n">
        <f>C527-C568</f>
        <v>-27</v>
      </c>
      <c r="D571" s="49" t="n">
        <f>D527-D568</f>
        <v>1328</v>
      </c>
      <c r="E571" s="49" t="n">
        <f>E527-E568</f>
        <v>1917</v>
      </c>
      <c r="F571" s="49" t="n">
        <f>F527-F568</f>
        <v>56000</v>
      </c>
      <c r="G571" s="49" t="n">
        <f>G527-G568</f>
        <v>20000</v>
      </c>
      <c r="H571" s="49" t="n">
        <f>H527-H568</f>
        <v>34000</v>
      </c>
      <c r="I571" s="57" t="n">
        <f>I527-I568</f>
        <v>17416</v>
      </c>
      <c r="J571" s="49" t="n">
        <f>J527-J568</f>
        <v>12233</v>
      </c>
      <c r="K571" s="49" t="n">
        <f>K527-K568</f>
        <v>4191</v>
      </c>
      <c r="L571" s="49" t="n">
        <f>L527-L568</f>
        <v>357</v>
      </c>
      <c r="M571" s="5"/>
      <c r="N571" s="5"/>
      <c r="O571" s="5"/>
      <c r="P571" s="5"/>
      <c r="Q571" s="5"/>
      <c r="R571" s="5"/>
      <c r="S571" s="5"/>
      <c r="T571" s="5"/>
      <c r="U571" s="5"/>
    </row>
    <row r="572">
      <c r="A572" s="4" t="s">
        <v>1890</v>
      </c>
      <c r="B572" s="47" t="s">
        <v>1891</v>
      </c>
      <c r="C572" s="49" t="n">
        <v>18473</v>
      </c>
      <c r="D572" s="49" t="n">
        <v>23196</v>
      </c>
      <c r="E572" s="49" t="n">
        <v>168000</v>
      </c>
      <c r="F572" s="49" t="n">
        <v>279000</v>
      </c>
      <c r="G572" s="49" t="n">
        <v>159440</v>
      </c>
      <c r="H572" s="49"/>
      <c r="I572" s="50" t="n">
        <v>173914</v>
      </c>
      <c r="J572" s="45" t="n">
        <v>17524</v>
      </c>
      <c r="K572" s="45" t="n">
        <v>48136</v>
      </c>
      <c r="L572" s="45" t="n">
        <v>21542</v>
      </c>
      <c r="M572" s="5"/>
      <c r="N572" s="5"/>
      <c r="O572" s="5"/>
      <c r="P572" s="5"/>
      <c r="Q572" s="5"/>
      <c r="R572" s="5"/>
      <c r="S572" s="5"/>
      <c r="T572" s="5"/>
      <c r="U572" s="5"/>
    </row>
    <row r="573">
      <c r="A573" s="4"/>
      <c r="B573" s="47" t="s">
        <v>1892</v>
      </c>
      <c r="C573" s="49"/>
      <c r="D573" s="49" t="n">
        <v>568</v>
      </c>
      <c r="E573" s="49" t="n">
        <v>5499</v>
      </c>
      <c r="F573" s="49" t="n">
        <v>3457</v>
      </c>
      <c r="G573" s="49" t="n">
        <v>4398</v>
      </c>
      <c r="H573" s="49"/>
      <c r="I573" s="50" t="n">
        <v>1441</v>
      </c>
      <c r="J573" s="45" t="n">
        <v>589</v>
      </c>
      <c r="K573" s="45" t="n">
        <v>63</v>
      </c>
      <c r="L573" s="45" t="n">
        <v>10</v>
      </c>
      <c r="M573" s="5"/>
      <c r="N573" s="5"/>
      <c r="O573" s="5"/>
      <c r="P573" s="5"/>
      <c r="Q573" s="5"/>
      <c r="R573" s="5"/>
      <c r="S573" s="5"/>
      <c r="T573" s="5"/>
      <c r="U573" s="5"/>
    </row>
    <row r="574">
      <c r="A574" s="4"/>
      <c r="B574" s="47" t="s">
        <v>1893</v>
      </c>
      <c r="C574" s="49" t="n">
        <v>1626443</v>
      </c>
      <c r="D574" s="49" t="n">
        <v>7460</v>
      </c>
      <c r="E574" s="49" t="n">
        <v>24078</v>
      </c>
      <c r="F574" s="49" t="n">
        <v>68000</v>
      </c>
      <c r="G574" s="49" t="n">
        <v>51000</v>
      </c>
      <c r="H574" s="49"/>
      <c r="I574" s="50" t="n">
        <v>882411</v>
      </c>
      <c r="J574" s="45" t="s">
        <v>1894</v>
      </c>
      <c r="K574" s="45" t="n">
        <v>342399</v>
      </c>
      <c r="L574" s="45" t="n">
        <v>82533</v>
      </c>
      <c r="M574" s="5"/>
      <c r="N574" s="5"/>
      <c r="O574" s="5"/>
      <c r="P574" s="5"/>
      <c r="Q574" s="5"/>
      <c r="R574" s="5"/>
      <c r="S574" s="5"/>
      <c r="T574" s="5"/>
      <c r="U574" s="5"/>
    </row>
    <row r="575">
      <c r="A575" s="4" t="s">
        <v>1895</v>
      </c>
      <c r="B575" s="47" t="s">
        <v>1896</v>
      </c>
      <c r="C575" s="49" t="n">
        <v>346000</v>
      </c>
      <c r="D575" s="49" t="n">
        <v>17222</v>
      </c>
      <c r="E575" s="49" t="n">
        <v>133000</v>
      </c>
      <c r="F575" s="49" t="n">
        <v>275000</v>
      </c>
      <c r="G575" s="49" t="n">
        <v>56492</v>
      </c>
      <c r="H575" s="49"/>
      <c r="I575" s="50" t="n">
        <v>183058</v>
      </c>
      <c r="J575" s="45" t="n">
        <v>26331</v>
      </c>
      <c r="K575" s="45" t="n">
        <v>86631</v>
      </c>
      <c r="L575" s="45" t="n">
        <v>14395</v>
      </c>
      <c r="M575" s="5"/>
      <c r="N575" s="5"/>
      <c r="O575" s="5"/>
      <c r="P575" s="5"/>
      <c r="Q575" s="5"/>
      <c r="R575" s="5"/>
      <c r="S575" s="5"/>
      <c r="T575" s="5"/>
      <c r="U575" s="5"/>
    </row>
    <row r="576">
      <c r="A576" s="4"/>
      <c r="B576" s="47" t="s">
        <v>1897</v>
      </c>
      <c r="C576" s="49"/>
      <c r="D576" s="49" t="n">
        <v>365</v>
      </c>
      <c r="E576" s="49" t="n">
        <v>3238</v>
      </c>
      <c r="F576" s="49" t="n">
        <v>3047</v>
      </c>
      <c r="G576" s="49" t="n">
        <v>3960</v>
      </c>
      <c r="H576" s="49"/>
      <c r="I576" s="50" t="s">
        <v>1898</v>
      </c>
      <c r="J576" s="45" t="n">
        <v>1143</v>
      </c>
      <c r="K576" s="45" t="n">
        <v>170</v>
      </c>
      <c r="L576" s="45" t="n">
        <v>11</v>
      </c>
      <c r="M576" s="5"/>
      <c r="N576" s="5"/>
      <c r="O576" s="5"/>
      <c r="P576" s="5"/>
      <c r="Q576" s="5"/>
      <c r="R576" s="5"/>
      <c r="S576" s="5"/>
      <c r="T576" s="5"/>
      <c r="U576" s="5"/>
    </row>
    <row r="577">
      <c r="A577" s="4"/>
      <c r="B577" s="47" t="s">
        <v>1899</v>
      </c>
      <c r="C577" s="49" t="n">
        <v>1626428</v>
      </c>
      <c r="D577" s="49" t="n">
        <v>7390</v>
      </c>
      <c r="E577" s="49" t="n">
        <v>23974</v>
      </c>
      <c r="F577" s="49" t="n">
        <v>67000</v>
      </c>
      <c r="G577" s="49" t="n">
        <v>49000</v>
      </c>
      <c r="H577" s="49"/>
      <c r="I577" s="50" t="n">
        <v>879980</v>
      </c>
      <c r="J577" s="45" t="s">
        <v>1900</v>
      </c>
      <c r="K577" s="45" t="n">
        <v>342350</v>
      </c>
      <c r="L577" s="45" t="n">
        <v>82531</v>
      </c>
      <c r="M577" s="5"/>
      <c r="N577" s="5"/>
      <c r="O577" s="5"/>
      <c r="P577" s="5"/>
      <c r="Q577" s="5"/>
      <c r="R577" s="5"/>
      <c r="S577" s="5"/>
      <c r="T577" s="5"/>
      <c r="U577" s="5"/>
    </row>
    <row r="578">
      <c r="A578" s="4" t="s">
        <v>1901</v>
      </c>
      <c r="B578" s="47" t="s">
        <v>1902</v>
      </c>
      <c r="C578" s="49" t="n">
        <v>57771</v>
      </c>
      <c r="D578" s="49" t="n">
        <v>37438</v>
      </c>
      <c r="E578" s="49" t="n">
        <v>154000</v>
      </c>
      <c r="F578" s="49" t="n">
        <v>298000</v>
      </c>
      <c r="G578" s="49" t="n">
        <v>361994</v>
      </c>
      <c r="H578" s="49"/>
      <c r="I578" s="50" t="n">
        <v>52918</v>
      </c>
      <c r="J578" s="45" t="n">
        <v>37512</v>
      </c>
      <c r="K578" s="45" t="n">
        <v>20361</v>
      </c>
      <c r="L578" s="45" t="n">
        <v>11766</v>
      </c>
      <c r="M578" s="5"/>
      <c r="N578" s="5"/>
      <c r="O578" s="5"/>
      <c r="P578" s="5"/>
      <c r="Q578" s="5"/>
      <c r="R578" s="5"/>
      <c r="S578" s="5"/>
      <c r="T578" s="5"/>
      <c r="U578" s="5"/>
    </row>
    <row r="579">
      <c r="A579" s="4"/>
      <c r="B579" s="47" t="s">
        <v>1903</v>
      </c>
      <c r="C579" s="49"/>
      <c r="D579" s="49" t="n">
        <v>864</v>
      </c>
      <c r="E579" s="49" t="n">
        <v>5865</v>
      </c>
      <c r="F579" s="49" t="n">
        <v>4613</v>
      </c>
      <c r="G579" s="49" t="n">
        <v>2528</v>
      </c>
      <c r="H579" s="49"/>
      <c r="I579" s="50" t="n">
        <v>523</v>
      </c>
      <c r="J579" s="45" t="n">
        <v>1094</v>
      </c>
      <c r="K579" s="45" t="n">
        <v>476</v>
      </c>
      <c r="L579" s="45" t="n">
        <v>12</v>
      </c>
      <c r="M579" s="5"/>
      <c r="N579" s="5"/>
      <c r="O579" s="5"/>
      <c r="P579" s="5"/>
      <c r="Q579" s="5"/>
      <c r="R579" s="5"/>
      <c r="S579" s="5"/>
      <c r="T579" s="5"/>
      <c r="U579" s="5"/>
    </row>
    <row r="580">
      <c r="A580" s="4"/>
      <c r="B580" s="47" t="s">
        <v>1904</v>
      </c>
      <c r="C580" s="49" t="n">
        <v>1626198</v>
      </c>
      <c r="D580" s="49" t="n">
        <v>7333</v>
      </c>
      <c r="E580" s="49" t="n">
        <v>23792</v>
      </c>
      <c r="F580" s="49" t="n">
        <v>66000</v>
      </c>
      <c r="G580" s="49" t="n">
        <v>49000</v>
      </c>
      <c r="H580" s="49"/>
      <c r="I580" s="50" t="n">
        <v>879321</v>
      </c>
      <c r="J580" s="45" t="n">
        <v>74805</v>
      </c>
      <c r="K580" s="45" t="n">
        <v>342299</v>
      </c>
      <c r="L580" s="45" t="n">
        <v>82505</v>
      </c>
      <c r="M580" s="5"/>
      <c r="N580" s="5"/>
      <c r="O580" s="5"/>
      <c r="P580" s="5"/>
      <c r="Q580" s="5"/>
      <c r="R580" s="5"/>
      <c r="S580" s="5"/>
      <c r="T580" s="5"/>
      <c r="U580" s="5"/>
    </row>
    <row r="581">
      <c r="A581" s="4" t="s">
        <v>1905</v>
      </c>
      <c r="B581" s="47" t="s">
        <v>1906</v>
      </c>
      <c r="C581" s="49" t="n">
        <v>14016</v>
      </c>
      <c r="D581" s="49" t="n">
        <v>32257</v>
      </c>
      <c r="E581" s="49" t="n">
        <v>136000</v>
      </c>
      <c r="F581" s="49" t="n">
        <v>434000</v>
      </c>
      <c r="G581" s="49" t="n">
        <v>97912</v>
      </c>
      <c r="H581" s="49"/>
      <c r="I581" s="50" t="n">
        <v>44742</v>
      </c>
      <c r="J581" s="45" t="n">
        <v>181182</v>
      </c>
      <c r="K581" s="45" t="n">
        <v>208367</v>
      </c>
      <c r="L581" s="45" t="n">
        <v>35475</v>
      </c>
      <c r="M581" s="5"/>
      <c r="N581" s="5"/>
      <c r="O581" s="5"/>
      <c r="P581" s="5"/>
      <c r="Q581" s="5"/>
      <c r="R581" s="5"/>
      <c r="S581" s="5"/>
      <c r="T581" s="5"/>
      <c r="U581" s="5"/>
    </row>
    <row r="582">
      <c r="A582" s="4"/>
      <c r="B582" s="47" t="s">
        <v>1907</v>
      </c>
      <c r="C582" s="49"/>
      <c r="D582" s="49" t="n">
        <v>1384</v>
      </c>
      <c r="E582" s="49" t="n">
        <v>2851</v>
      </c>
      <c r="F582" s="49" t="n">
        <v>8987</v>
      </c>
      <c r="G582" s="49" t="n">
        <v>1661</v>
      </c>
      <c r="H582" s="49"/>
      <c r="I582" s="50" t="n">
        <v>429</v>
      </c>
      <c r="J582" s="45" t="n">
        <v>2677</v>
      </c>
      <c r="K582" s="45" t="n">
        <v>616</v>
      </c>
      <c r="L582" s="45" t="n">
        <v>14</v>
      </c>
      <c r="M582" s="5"/>
      <c r="N582" s="5"/>
      <c r="O582" s="5"/>
      <c r="P582" s="5"/>
      <c r="Q582" s="5"/>
      <c r="R582" s="5"/>
      <c r="S582" s="5"/>
      <c r="T582" s="5"/>
      <c r="U582" s="5"/>
    </row>
    <row r="583">
      <c r="A583" s="4"/>
      <c r="B583" s="47" t="s">
        <v>1908</v>
      </c>
      <c r="C583" s="49" t="n">
        <v>1626091</v>
      </c>
      <c r="D583" s="49" t="n">
        <v>7219</v>
      </c>
      <c r="E583" s="49" t="n">
        <v>23608</v>
      </c>
      <c r="F583" s="49" t="n">
        <v>66000</v>
      </c>
      <c r="G583" s="49" t="n">
        <v>48000</v>
      </c>
      <c r="H583" s="49"/>
      <c r="I583" s="50" t="n">
        <v>878490</v>
      </c>
      <c r="J583" s="45" t="n">
        <v>74481</v>
      </c>
      <c r="K583" s="45" t="n">
        <v>342235</v>
      </c>
      <c r="L583" s="45" t="n">
        <v>82499</v>
      </c>
      <c r="M583" s="5"/>
      <c r="N583" s="5"/>
      <c r="O583" s="5"/>
      <c r="P583" s="5"/>
      <c r="Q583" s="5"/>
      <c r="R583" s="5"/>
      <c r="S583" s="5"/>
      <c r="T583" s="5"/>
      <c r="U583" s="5"/>
    </row>
    <row r="584">
      <c r="A584" s="4" t="s">
        <v>1909</v>
      </c>
      <c r="B584" s="47" t="s">
        <v>1910</v>
      </c>
      <c r="C584" s="49" t="n">
        <v>33985</v>
      </c>
      <c r="D584" s="49" t="n">
        <v>85362</v>
      </c>
      <c r="E584" s="49" t="n">
        <v>549000</v>
      </c>
      <c r="F584" s="49" t="n">
        <v>618000</v>
      </c>
      <c r="G584" s="49" t="n">
        <v>542420</v>
      </c>
      <c r="H584" s="49"/>
      <c r="I584" s="50" t="n">
        <v>30936</v>
      </c>
      <c r="J584" s="45" t="n">
        <v>142714</v>
      </c>
      <c r="K584" s="45" t="n">
        <v>85970</v>
      </c>
      <c r="L584" s="45" t="n">
        <v>13416</v>
      </c>
      <c r="M584" s="5"/>
      <c r="N584" s="5"/>
      <c r="O584" s="5"/>
      <c r="P584" s="5"/>
      <c r="Q584" s="5"/>
      <c r="R584" s="5"/>
      <c r="S584" s="5"/>
      <c r="T584" s="5"/>
      <c r="U584" s="5"/>
    </row>
    <row r="585">
      <c r="A585" s="4"/>
      <c r="B585" s="47" t="s">
        <v>1911</v>
      </c>
      <c r="C585" s="49"/>
      <c r="D585" s="49" t="n">
        <v>3754</v>
      </c>
      <c r="E585" s="49" t="n">
        <v>10486</v>
      </c>
      <c r="F585" s="49" t="n">
        <v>13337</v>
      </c>
      <c r="G585" s="49" t="n">
        <v>4687</v>
      </c>
      <c r="H585" s="49"/>
      <c r="I585" s="45" t="n">
        <v>800</v>
      </c>
      <c r="J585" s="45" t="n">
        <v>2351</v>
      </c>
      <c r="K585" s="45" t="n">
        <v>355</v>
      </c>
      <c r="L585" s="45" t="n">
        <v>10</v>
      </c>
      <c r="M585" s="5"/>
      <c r="N585" s="5"/>
      <c r="O585" s="5"/>
      <c r="P585" s="5"/>
      <c r="Q585" s="5"/>
      <c r="R585" s="5"/>
      <c r="S585" s="5"/>
      <c r="T585" s="5"/>
      <c r="U585" s="5"/>
    </row>
    <row r="586">
      <c r="A586" s="4"/>
      <c r="B586" s="47" t="s">
        <v>1912</v>
      </c>
      <c r="C586" s="49" t="n">
        <v>1625990</v>
      </c>
      <c r="D586" s="49" t="n">
        <v>7128</v>
      </c>
      <c r="E586" s="49" t="n">
        <v>23482</v>
      </c>
      <c r="F586" s="49" t="n">
        <v>64000</v>
      </c>
      <c r="G586" s="49" t="n">
        <v>48000</v>
      </c>
      <c r="H586" s="49"/>
      <c r="I586" s="45" t="n">
        <v>877529</v>
      </c>
      <c r="J586" s="45" t="n">
        <v>73742</v>
      </c>
      <c r="K586" s="45" t="n">
        <v>342042</v>
      </c>
      <c r="L586" s="45" t="n">
        <v>82479</v>
      </c>
      <c r="M586" s="5"/>
      <c r="N586" s="5"/>
      <c r="O586" s="5"/>
      <c r="P586" s="5"/>
      <c r="Q586" s="5"/>
      <c r="R586" s="5"/>
      <c r="S586" s="5"/>
      <c r="T586" s="5"/>
      <c r="U586" s="5"/>
    </row>
    <row r="587">
      <c r="A587" s="4" t="s">
        <v>1913</v>
      </c>
      <c r="B587" s="47" t="s">
        <v>1914</v>
      </c>
      <c r="C587" s="49" t="n">
        <v>25749</v>
      </c>
      <c r="D587" s="49" t="n">
        <v>67019</v>
      </c>
      <c r="E587" s="49" t="n">
        <v>196000</v>
      </c>
      <c r="F587" s="49" t="n">
        <v>646000</v>
      </c>
      <c r="G587" s="49" t="n">
        <v>709934</v>
      </c>
      <c r="H587" s="49"/>
      <c r="I587" s="45" t="n">
        <v>232213</v>
      </c>
      <c r="J587" s="45" t="n">
        <v>63972</v>
      </c>
      <c r="K587" s="45" t="n">
        <v>277913</v>
      </c>
      <c r="L587" s="45" t="n">
        <v>13118</v>
      </c>
      <c r="M587" s="5"/>
      <c r="N587" s="5"/>
      <c r="O587" s="5"/>
      <c r="P587" s="5"/>
      <c r="Q587" s="5"/>
      <c r="R587" s="5"/>
      <c r="S587" s="5"/>
      <c r="T587" s="5"/>
      <c r="U587" s="5"/>
    </row>
    <row r="588">
      <c r="A588" s="4"/>
      <c r="B588" s="47" t="s">
        <v>1915</v>
      </c>
      <c r="C588" s="49"/>
      <c r="D588" s="49" t="n">
        <v>4791</v>
      </c>
      <c r="E588" s="49" t="n">
        <v>2040</v>
      </c>
      <c r="F588" s="49" t="n">
        <v>19597</v>
      </c>
      <c r="G588" s="49" t="n">
        <v>5031</v>
      </c>
      <c r="H588" s="49"/>
      <c r="I588" s="45" t="n">
        <v>3228</v>
      </c>
      <c r="J588" s="45" t="n">
        <v>787</v>
      </c>
      <c r="K588" s="45" t="n">
        <v>2115</v>
      </c>
      <c r="L588" s="45" t="n">
        <v>17</v>
      </c>
      <c r="M588" s="5"/>
      <c r="N588" s="5"/>
      <c r="O588" s="5"/>
      <c r="P588" s="5"/>
      <c r="Q588" s="5"/>
      <c r="R588" s="5"/>
      <c r="S588" s="5"/>
      <c r="T588" s="5"/>
      <c r="U588" s="5"/>
    </row>
    <row r="589">
      <c r="A589" s="4"/>
      <c r="B589" s="47" t="s">
        <v>1916</v>
      </c>
      <c r="C589" s="49" t="n">
        <v>1625885</v>
      </c>
      <c r="D589" s="49" t="n">
        <v>6978</v>
      </c>
      <c r="E589" s="49" t="n">
        <v>23274</v>
      </c>
      <c r="F589" s="49" t="n">
        <v>60000</v>
      </c>
      <c r="G589" s="49" t="n">
        <v>47000</v>
      </c>
      <c r="H589" s="49"/>
      <c r="I589" s="45" t="n">
        <v>877429</v>
      </c>
      <c r="J589" s="45" t="n">
        <v>73268</v>
      </c>
      <c r="K589" s="45" t="n">
        <v>341920</v>
      </c>
      <c r="L589" s="45" t="n">
        <v>82449</v>
      </c>
      <c r="M589" s="5"/>
      <c r="N589" s="5"/>
      <c r="O589" s="5"/>
      <c r="P589" s="5"/>
      <c r="Q589" s="5"/>
      <c r="R589" s="5"/>
      <c r="S589" s="5"/>
      <c r="T589" s="5"/>
      <c r="U589" s="5"/>
    </row>
    <row r="590">
      <c r="A590" s="4" t="s">
        <v>1917</v>
      </c>
      <c r="B590" s="47" t="s">
        <v>1918</v>
      </c>
      <c r="C590" s="49" t="n">
        <v>21127</v>
      </c>
      <c r="D590" s="49" t="n">
        <v>183618</v>
      </c>
      <c r="E590" s="49" t="n">
        <v>45000</v>
      </c>
      <c r="F590" s="49" t="n">
        <v>472000</v>
      </c>
      <c r="G590" s="49" t="n">
        <v>1333010</v>
      </c>
      <c r="H590" s="49"/>
      <c r="I590" s="45" t="n">
        <v>63090</v>
      </c>
      <c r="J590" s="45" t="n">
        <v>21401</v>
      </c>
      <c r="K590" s="45" t="n">
        <v>54133</v>
      </c>
      <c r="L590" s="45" t="n">
        <v>27947</v>
      </c>
      <c r="M590" s="5"/>
      <c r="N590" s="5"/>
      <c r="O590" s="5"/>
      <c r="P590" s="5"/>
      <c r="Q590" s="5"/>
      <c r="R590" s="5"/>
      <c r="S590" s="5"/>
      <c r="T590" s="5"/>
      <c r="U590" s="5"/>
    </row>
    <row r="591">
      <c r="A591" s="4"/>
      <c r="B591" s="47" t="s">
        <v>1919</v>
      </c>
      <c r="C591" s="49"/>
      <c r="D591" s="49" t="n">
        <v>11291</v>
      </c>
      <c r="E591" s="49" t="n">
        <v>1618</v>
      </c>
      <c r="F591" s="49" t="n">
        <v>8249</v>
      </c>
      <c r="G591" s="49" t="n">
        <v>5650</v>
      </c>
      <c r="H591" s="49"/>
      <c r="I591" s="45" t="n">
        <v>1493</v>
      </c>
      <c r="J591" s="45" t="n">
        <v>246</v>
      </c>
      <c r="K591" s="45" t="n">
        <v>315</v>
      </c>
      <c r="L591" s="45" t="n">
        <v>16</v>
      </c>
      <c r="M591" s="5"/>
      <c r="N591" s="5"/>
      <c r="O591" s="5"/>
      <c r="P591" s="5"/>
      <c r="Q591" s="5"/>
      <c r="R591" s="5"/>
      <c r="S591" s="5"/>
      <c r="T591" s="5"/>
      <c r="U591" s="5"/>
    </row>
    <row r="592">
      <c r="A592" s="4"/>
      <c r="B592" s="47" t="s">
        <v>1920</v>
      </c>
      <c r="C592" s="49" t="n">
        <v>1625838</v>
      </c>
      <c r="D592" s="49" t="n">
        <v>6849</v>
      </c>
      <c r="E592" s="49" t="n">
        <v>23128</v>
      </c>
      <c r="F592" s="49" t="n">
        <v>56000</v>
      </c>
      <c r="G592" s="49" t="n">
        <v>47000</v>
      </c>
      <c r="H592" s="49"/>
      <c r="I592" s="45" t="n">
        <v>874570</v>
      </c>
      <c r="J592" s="45" t="n">
        <v>73115</v>
      </c>
      <c r="K592" s="45" t="n">
        <v>341732</v>
      </c>
      <c r="L592" s="45" t="n">
        <v>82431</v>
      </c>
      <c r="M592" s="5"/>
      <c r="N592" s="5"/>
      <c r="O592" s="5"/>
      <c r="P592" s="5"/>
      <c r="Q592" s="5"/>
      <c r="R592" s="5"/>
      <c r="S592" s="5"/>
      <c r="T592" s="5"/>
      <c r="U592" s="5"/>
    </row>
    <row r="593">
      <c r="A593" s="4" t="s">
        <v>1921</v>
      </c>
      <c r="B593" s="47" t="s">
        <v>1922</v>
      </c>
      <c r="C593" s="49" t="n">
        <v>41629</v>
      </c>
      <c r="D593" s="49" t="n">
        <v>304907</v>
      </c>
      <c r="E593" s="49" t="n">
        <v>94000</v>
      </c>
      <c r="F593" s="49" t="n">
        <v>326000</v>
      </c>
      <c r="G593" s="49" t="n">
        <v>1689374</v>
      </c>
      <c r="H593" s="49"/>
      <c r="I593" s="45" t="n">
        <v>74734</v>
      </c>
      <c r="J593" s="45" t="n">
        <v>289884</v>
      </c>
      <c r="K593" s="45" t="n">
        <v>57391</v>
      </c>
      <c r="L593" s="45" t="n">
        <v>53774</v>
      </c>
      <c r="M593" s="5"/>
      <c r="N593" s="5"/>
      <c r="O593" s="5"/>
      <c r="P593" s="5"/>
      <c r="Q593" s="5"/>
      <c r="R593" s="5"/>
      <c r="S593" s="5"/>
      <c r="T593" s="5"/>
      <c r="U593" s="5"/>
    </row>
    <row r="594">
      <c r="A594" s="4"/>
      <c r="B594" s="47" t="s">
        <v>1923</v>
      </c>
      <c r="C594" s="49"/>
      <c r="D594" s="49" t="n">
        <v>14915</v>
      </c>
      <c r="E594" s="49" t="n">
        <v>1885</v>
      </c>
      <c r="F594" s="49" t="n">
        <v>5617</v>
      </c>
      <c r="G594" s="49" t="n">
        <v>8600</v>
      </c>
      <c r="H594" s="49"/>
      <c r="I594" s="45"/>
      <c r="J594" s="45"/>
      <c r="K594" s="45"/>
      <c r="L594" s="45"/>
      <c r="M594" s="5"/>
      <c r="N594" s="5"/>
      <c r="O594" s="5"/>
      <c r="P594" s="5"/>
      <c r="Q594" s="5"/>
      <c r="R594" s="5"/>
      <c r="S594" s="5"/>
      <c r="T594" s="5"/>
      <c r="U594" s="5"/>
    </row>
    <row r="595">
      <c r="A595" s="4"/>
      <c r="B595" s="47" t="s">
        <v>1924</v>
      </c>
      <c r="C595" s="49" t="n">
        <v>1625738</v>
      </c>
      <c r="D595" s="49" t="n">
        <v>6695</v>
      </c>
      <c r="E595" s="49" t="n">
        <v>22892</v>
      </c>
      <c r="F595" s="49" t="n">
        <v>53000</v>
      </c>
      <c r="G595" s="49" t="n">
        <v>46000</v>
      </c>
      <c r="H595" s="49"/>
      <c r="I595" s="45" t="n">
        <v>872511</v>
      </c>
      <c r="J595" s="45" t="n">
        <v>72954</v>
      </c>
      <c r="K595" s="45" t="n">
        <v>341668</v>
      </c>
      <c r="L595" s="45" t="n">
        <v>82393</v>
      </c>
      <c r="M595" s="5"/>
      <c r="N595" s="5"/>
      <c r="O595" s="5"/>
      <c r="P595" s="5"/>
      <c r="Q595" s="5"/>
      <c r="R595" s="5"/>
      <c r="S595" s="5"/>
      <c r="T595" s="5"/>
      <c r="U595" s="5"/>
    </row>
    <row r="596">
      <c r="A596" s="4" t="s">
        <v>1925</v>
      </c>
      <c r="B596" s="47" t="s">
        <v>1926</v>
      </c>
      <c r="C596" s="49" t="n">
        <v>0</v>
      </c>
      <c r="D596" s="49" t="n">
        <v>70083</v>
      </c>
      <c r="E596" s="49" t="n">
        <v>150000</v>
      </c>
      <c r="F596" s="49" t="n">
        <v>277000</v>
      </c>
      <c r="G596" s="49" t="n">
        <v>2274181</v>
      </c>
      <c r="H596" s="49"/>
      <c r="I596" s="45" t="n">
        <v>62006</v>
      </c>
      <c r="J596" s="45" t="n">
        <v>63877</v>
      </c>
      <c r="K596" s="45" t="n">
        <v>30624</v>
      </c>
      <c r="L596" s="45" t="n">
        <v>12779</v>
      </c>
      <c r="M596" s="5"/>
      <c r="N596" s="5"/>
      <c r="O596" s="5"/>
      <c r="P596" s="5"/>
      <c r="Q596" s="5"/>
      <c r="R596" s="5"/>
      <c r="S596" s="5"/>
      <c r="T596" s="5"/>
      <c r="U596" s="5"/>
    </row>
    <row r="597">
      <c r="A597" s="4"/>
      <c r="B597" s="47" t="s">
        <v>1927</v>
      </c>
      <c r="C597" s="49" t="n">
        <v>0</v>
      </c>
      <c r="D597" s="49" t="n">
        <v>2672</v>
      </c>
      <c r="E597" s="49" t="n">
        <v>1782</v>
      </c>
      <c r="F597" s="49" t="n">
        <v>4956</v>
      </c>
      <c r="G597" s="49" t="n">
        <v>6825</v>
      </c>
      <c r="H597" s="49"/>
      <c r="I597" s="45" t="n">
        <v>1124</v>
      </c>
      <c r="J597" s="45" t="n">
        <v>493</v>
      </c>
      <c r="K597" s="45" t="n">
        <v>560</v>
      </c>
      <c r="L597" s="45" t="n">
        <v>18</v>
      </c>
      <c r="M597" s="5"/>
      <c r="N597" s="5"/>
      <c r="O597" s="5"/>
      <c r="P597" s="5"/>
      <c r="Q597" s="5"/>
      <c r="R597" s="5"/>
      <c r="S597" s="5"/>
      <c r="T597" s="5"/>
      <c r="U597" s="5"/>
    </row>
    <row r="598">
      <c r="A598" s="4"/>
      <c r="B598" s="47" t="s">
        <v>1928</v>
      </c>
      <c r="C598" s="49" t="n">
        <v>1625599</v>
      </c>
      <c r="D598" s="49" t="n">
        <v>6184</v>
      </c>
      <c r="E598" s="49" t="n">
        <v>22534</v>
      </c>
      <c r="F598" s="49" t="n">
        <v>52000</v>
      </c>
      <c r="G598" s="49" t="n">
        <v>45000</v>
      </c>
      <c r="H598" s="49"/>
      <c r="I598" s="45" t="n">
        <v>871803</v>
      </c>
      <c r="J598" s="45" t="n">
        <v>72741</v>
      </c>
      <c r="K598" s="45" t="n">
        <v>342000</v>
      </c>
      <c r="L598" s="45" t="n">
        <v>82355</v>
      </c>
      <c r="M598" s="5"/>
      <c r="N598" s="5"/>
      <c r="O598" s="5"/>
      <c r="P598" s="5"/>
      <c r="Q598" s="5"/>
      <c r="R598" s="5"/>
      <c r="S598" s="5"/>
      <c r="T598" s="5"/>
      <c r="U598" s="5"/>
    </row>
    <row r="599">
      <c r="A599" s="4" t="s">
        <v>1929</v>
      </c>
      <c r="B599" s="47" t="s">
        <v>1930</v>
      </c>
      <c r="C599" s="49" t="n">
        <v>0</v>
      </c>
      <c r="D599" s="49" t="n">
        <v>267418</v>
      </c>
      <c r="E599" s="49" t="n">
        <v>489000</v>
      </c>
      <c r="F599" s="49" t="n">
        <v>423000</v>
      </c>
      <c r="G599" s="49" t="n">
        <v>708713</v>
      </c>
      <c r="H599" s="49"/>
      <c r="I599" s="45" t="n">
        <v>101195</v>
      </c>
      <c r="J599" s="45" t="n">
        <v>151705</v>
      </c>
      <c r="K599" s="45" t="n">
        <v>97441</v>
      </c>
      <c r="L599" s="45" t="n">
        <v>14345</v>
      </c>
      <c r="M599" s="5"/>
      <c r="N599" s="5"/>
      <c r="O599" s="5"/>
      <c r="P599" s="5"/>
      <c r="Q599" s="5"/>
      <c r="R599" s="5"/>
      <c r="S599" s="5"/>
      <c r="T599" s="5"/>
      <c r="U599" s="5"/>
    </row>
    <row r="600">
      <c r="A600" s="4"/>
      <c r="B600" s="47" t="s">
        <v>1931</v>
      </c>
      <c r="C600" s="49" t="n">
        <v>0</v>
      </c>
      <c r="D600" s="49" t="n">
        <v>9302</v>
      </c>
      <c r="E600" s="49" t="n">
        <v>12598</v>
      </c>
      <c r="F600" s="49" t="n">
        <v>9961</v>
      </c>
      <c r="G600" s="49" t="n">
        <v>5498</v>
      </c>
      <c r="H600" s="49"/>
      <c r="I600" s="45" t="n">
        <v>2792</v>
      </c>
      <c r="J600" s="45" t="n">
        <v>1362</v>
      </c>
      <c r="K600" s="45" t="n">
        <v>833</v>
      </c>
      <c r="L600" s="45" t="n">
        <v>17</v>
      </c>
      <c r="M600" s="5"/>
      <c r="N600" s="5"/>
      <c r="O600" s="5"/>
      <c r="P600" s="5"/>
      <c r="Q600" s="5"/>
      <c r="R600" s="5"/>
      <c r="S600" s="5"/>
      <c r="T600" s="5"/>
      <c r="U600" s="5"/>
    </row>
    <row r="601">
      <c r="A601" s="4"/>
      <c r="B601" s="47" t="s">
        <v>1932</v>
      </c>
      <c r="C601" s="49" t="n">
        <v>1625443</v>
      </c>
      <c r="D601" s="49" t="n">
        <v>6013</v>
      </c>
      <c r="E601" s="49" t="n">
        <v>22112</v>
      </c>
      <c r="F601" s="49" t="n">
        <v>51000</v>
      </c>
      <c r="G601" s="49" t="n">
        <v>44000</v>
      </c>
      <c r="H601" s="49"/>
      <c r="I601" s="45" t="n">
        <v>870976</v>
      </c>
      <c r="J601" s="45" t="n">
        <v>72584</v>
      </c>
      <c r="K601" s="45" t="n">
        <v>342000</v>
      </c>
      <c r="L601" s="45" t="n">
        <v>82290</v>
      </c>
      <c r="M601" s="5"/>
      <c r="N601" s="5"/>
      <c r="O601" s="5"/>
      <c r="P601" s="5"/>
      <c r="Q601" s="5"/>
      <c r="R601" s="5"/>
      <c r="S601" s="5"/>
      <c r="T601" s="5"/>
      <c r="U601" s="5"/>
    </row>
    <row r="602">
      <c r="A602" s="56" t="s">
        <v>1933</v>
      </c>
      <c r="B602" s="58" t="s">
        <v>1934</v>
      </c>
      <c r="C602" s="59" t="n">
        <v>183194</v>
      </c>
      <c r="D602" s="59" t="n">
        <v>822967</v>
      </c>
      <c r="E602" s="59" t="n">
        <v>444096</v>
      </c>
      <c r="F602" s="59" t="n">
        <v>2214219</v>
      </c>
      <c r="G602" s="59" t="n">
        <v>2527860</v>
      </c>
      <c r="H602" s="59"/>
      <c r="I602" s="45" t="s">
        <v>1935</v>
      </c>
      <c r="J602" s="45" t="n">
        <v>379206</v>
      </c>
      <c r="K602" s="45" t="n">
        <v>224635</v>
      </c>
      <c r="L602" s="45" t="n">
        <v>54761</v>
      </c>
      <c r="M602" s="5"/>
      <c r="N602" s="5"/>
      <c r="O602" s="5"/>
      <c r="P602" s="5"/>
      <c r="Q602" s="5"/>
      <c r="R602" s="5"/>
      <c r="S602" s="5"/>
      <c r="T602" s="5"/>
      <c r="U602" s="5"/>
    </row>
    <row r="603">
      <c r="A603" s="56"/>
      <c r="B603" s="58" t="s">
        <v>1936</v>
      </c>
      <c r="C603" s="59"/>
      <c r="D603" s="59" t="n">
        <v>31022</v>
      </c>
      <c r="E603" s="59" t="n">
        <v>22081</v>
      </c>
      <c r="F603" s="59" t="n">
        <v>37650</v>
      </c>
      <c r="G603" s="59" t="n">
        <v>68081</v>
      </c>
      <c r="H603" s="59"/>
      <c r="I603" s="45" t="n">
        <v>23275</v>
      </c>
      <c r="J603" s="45" t="n">
        <v>2985</v>
      </c>
      <c r="K603" s="45" t="n">
        <v>1334</v>
      </c>
      <c r="L603" s="45" t="n">
        <v>61</v>
      </c>
      <c r="M603" s="5"/>
      <c r="N603" s="5"/>
      <c r="O603" s="5"/>
      <c r="P603" s="5"/>
      <c r="Q603" s="5"/>
      <c r="R603" s="5"/>
      <c r="S603" s="5"/>
      <c r="T603" s="5"/>
      <c r="U603" s="5"/>
    </row>
    <row r="604">
      <c r="A604" s="56"/>
      <c r="B604" s="58" t="s">
        <v>1937</v>
      </c>
      <c r="C604" s="59" t="n">
        <v>1625407</v>
      </c>
      <c r="D604" s="59" t="n">
        <v>5900</v>
      </c>
      <c r="E604" s="59" t="n">
        <v>21859</v>
      </c>
      <c r="F604" s="59" t="n">
        <v>50000</v>
      </c>
      <c r="G604" s="59" t="n">
        <v>44000</v>
      </c>
      <c r="H604" s="59"/>
      <c r="I604" s="45" t="n">
        <v>869779</v>
      </c>
      <c r="J604" s="45" t="n">
        <v>72400</v>
      </c>
      <c r="K604" s="45" t="n">
        <v>341000</v>
      </c>
      <c r="L604" s="45" t="n">
        <v>82280</v>
      </c>
      <c r="M604" s="5"/>
      <c r="N604" s="5"/>
      <c r="O604" s="5"/>
      <c r="P604" s="5"/>
      <c r="Q604" s="5"/>
      <c r="R604" s="5"/>
      <c r="S604" s="5"/>
      <c r="T604" s="5"/>
      <c r="U604" s="5"/>
    </row>
    <row r="605">
      <c r="A605" s="4" t="s">
        <v>1938</v>
      </c>
      <c r="B605" s="47" t="s">
        <v>1939</v>
      </c>
      <c r="C605" s="49" t="n">
        <v>80355</v>
      </c>
      <c r="D605" s="49" t="n">
        <v>432531</v>
      </c>
      <c r="E605" s="49" t="n">
        <v>105000</v>
      </c>
      <c r="F605" s="49" t="n">
        <v>700000</v>
      </c>
      <c r="G605" s="49" t="n">
        <v>1237436</v>
      </c>
      <c r="H605" s="49"/>
      <c r="I605" s="45" t="n">
        <v>46753</v>
      </c>
      <c r="J605" s="45" t="n">
        <v>270936</v>
      </c>
      <c r="K605" s="45" t="n">
        <v>63346</v>
      </c>
      <c r="L605" s="45" t="n">
        <v>12951</v>
      </c>
      <c r="M605" s="5"/>
      <c r="N605" s="5"/>
      <c r="O605" s="5"/>
      <c r="P605" s="5"/>
      <c r="Q605" s="5"/>
      <c r="R605" s="5"/>
      <c r="S605" s="5"/>
      <c r="T605" s="5"/>
      <c r="U605" s="5"/>
    </row>
    <row r="606">
      <c r="A606" s="4"/>
      <c r="B606" s="47" t="s">
        <v>1940</v>
      </c>
      <c r="C606" s="49"/>
      <c r="D606" s="49" t="n">
        <v>13594</v>
      </c>
      <c r="E606" s="49" t="n">
        <v>16783</v>
      </c>
      <c r="F606" s="49" t="n">
        <v>12252</v>
      </c>
      <c r="G606" s="49" t="n">
        <v>15681</v>
      </c>
      <c r="H606" s="49"/>
      <c r="I606" s="45" t="n">
        <v>562</v>
      </c>
      <c r="J606" s="45" t="n">
        <v>1624</v>
      </c>
      <c r="K606" s="45" t="n">
        <v>423</v>
      </c>
      <c r="L606" s="45" t="n">
        <v>11</v>
      </c>
      <c r="M606" s="5"/>
      <c r="N606" s="5"/>
      <c r="O606" s="5"/>
      <c r="P606" s="5"/>
      <c r="Q606" s="5"/>
      <c r="R606" s="5"/>
      <c r="S606" s="5"/>
      <c r="T606" s="5"/>
      <c r="U606" s="5"/>
    </row>
    <row r="607">
      <c r="A607" s="4"/>
      <c r="B607" s="47" t="s">
        <v>1941</v>
      </c>
      <c r="C607" s="49" t="n">
        <v>1625285</v>
      </c>
      <c r="D607" s="49" t="n">
        <v>5561</v>
      </c>
      <c r="E607" s="49" t="n">
        <v>21494</v>
      </c>
      <c r="F607" s="49" t="n">
        <v>46000</v>
      </c>
      <c r="G607" s="49" t="n">
        <v>43000</v>
      </c>
      <c r="H607" s="49"/>
      <c r="I607" s="45" t="n">
        <v>866947</v>
      </c>
      <c r="J607" s="45" t="n">
        <v>72174</v>
      </c>
      <c r="K607" s="45" t="n">
        <v>341000</v>
      </c>
      <c r="L607" s="45" t="n">
        <v>82227</v>
      </c>
      <c r="M607" s="5"/>
      <c r="N607" s="5"/>
      <c r="O607" s="5"/>
      <c r="P607" s="5"/>
      <c r="Q607" s="5"/>
      <c r="R607" s="5"/>
      <c r="S607" s="5"/>
      <c r="T607" s="5"/>
      <c r="U607" s="5"/>
    </row>
    <row r="608">
      <c r="A608" s="4" t="s">
        <v>1942</v>
      </c>
      <c r="B608" s="47" t="s">
        <v>1943</v>
      </c>
      <c r="C608" s="49" t="n">
        <v>17497</v>
      </c>
      <c r="D608" s="49" t="n">
        <v>20107</v>
      </c>
      <c r="E608" s="49" t="n">
        <v>55454</v>
      </c>
      <c r="F608" s="49" t="n">
        <v>153000</v>
      </c>
      <c r="G608" s="49" t="n">
        <v>378555</v>
      </c>
      <c r="H608" s="49"/>
      <c r="I608" s="45" t="n">
        <v>32767</v>
      </c>
      <c r="J608" s="45" t="n">
        <v>22279</v>
      </c>
      <c r="K608" s="45" t="n">
        <v>16631</v>
      </c>
      <c r="L608" s="45" t="n">
        <v>12934</v>
      </c>
      <c r="M608" s="5"/>
      <c r="N608" s="5"/>
      <c r="O608" s="5"/>
      <c r="P608" s="5"/>
      <c r="Q608" s="5"/>
      <c r="R608" s="5"/>
      <c r="S608" s="5"/>
      <c r="T608" s="5"/>
      <c r="U608" s="5"/>
    </row>
    <row r="609">
      <c r="A609" s="4"/>
      <c r="B609" s="47" t="s">
        <v>1944</v>
      </c>
      <c r="C609" s="49"/>
      <c r="D609" s="49" t="n">
        <v>1013</v>
      </c>
      <c r="E609" s="49" t="n">
        <v>1417</v>
      </c>
      <c r="F609" s="49" t="n">
        <v>2260</v>
      </c>
      <c r="G609" s="49" t="n">
        <v>1851</v>
      </c>
      <c r="H609" s="49"/>
      <c r="I609" s="45" t="n">
        <v>437</v>
      </c>
      <c r="J609" s="45" t="n">
        <v>398</v>
      </c>
      <c r="K609" s="45" t="n">
        <v>177</v>
      </c>
      <c r="L609" s="45" t="n">
        <v>15</v>
      </c>
      <c r="M609" s="5"/>
      <c r="N609" s="5"/>
      <c r="O609" s="5"/>
      <c r="P609" s="5"/>
      <c r="Q609" s="5"/>
      <c r="R609" s="5"/>
      <c r="S609" s="5"/>
      <c r="T609" s="5"/>
      <c r="U609" s="5"/>
    </row>
    <row r="610">
      <c r="A610" s="4"/>
      <c r="B610" s="47" t="s">
        <v>1945</v>
      </c>
      <c r="C610" s="49" t="n">
        <v>1625176</v>
      </c>
      <c r="D610" s="49" t="n">
        <v>4754</v>
      </c>
      <c r="E610" s="49" t="n">
        <v>21065</v>
      </c>
      <c r="F610" s="49" t="n">
        <v>41000</v>
      </c>
      <c r="G610" s="49" t="n">
        <v>39000</v>
      </c>
      <c r="H610" s="49"/>
      <c r="I610" s="45" t="n">
        <v>866214</v>
      </c>
      <c r="J610" s="45" t="n">
        <v>71610</v>
      </c>
      <c r="K610" s="45" t="n">
        <v>341000</v>
      </c>
      <c r="L610" s="45" t="n">
        <v>82119</v>
      </c>
      <c r="M610" s="5"/>
      <c r="N610" s="5"/>
      <c r="O610" s="5"/>
      <c r="P610" s="5"/>
      <c r="Q610" s="5"/>
      <c r="R610" s="5"/>
      <c r="S610" s="5"/>
      <c r="T610" s="5"/>
      <c r="U610" s="5"/>
    </row>
    <row r="611">
      <c r="A611" s="56" t="s">
        <v>1946</v>
      </c>
      <c r="B611" s="58" t="s">
        <v>1947</v>
      </c>
      <c r="C611" s="59" t="n">
        <v>456054</v>
      </c>
      <c r="D611" s="59" t="n">
        <v>551535</v>
      </c>
      <c r="E611" s="59" t="n">
        <v>2040836</v>
      </c>
      <c r="F611" s="59" t="n">
        <v>2838225</v>
      </c>
      <c r="G611" s="59" t="n">
        <v>12258884</v>
      </c>
      <c r="H611" s="59"/>
      <c r="I611" s="45" t="n">
        <v>3926291</v>
      </c>
      <c r="J611" s="45" t="n">
        <v>575965</v>
      </c>
      <c r="K611" s="45" t="n">
        <v>1382607</v>
      </c>
      <c r="L611" s="45" t="n">
        <v>235213</v>
      </c>
      <c r="M611" s="5"/>
      <c r="N611" s="5"/>
      <c r="O611" s="5"/>
      <c r="P611" s="5"/>
      <c r="Q611" s="5"/>
      <c r="R611" s="5"/>
      <c r="S611" s="5"/>
      <c r="T611" s="5"/>
      <c r="U611" s="5"/>
    </row>
    <row r="612">
      <c r="A612" s="56"/>
      <c r="B612" s="58" t="s">
        <v>1948</v>
      </c>
      <c r="C612" s="59" t="n">
        <v>1625116</v>
      </c>
      <c r="D612" s="59" t="n">
        <v>4669</v>
      </c>
      <c r="E612" s="59" t="n">
        <v>20582</v>
      </c>
      <c r="F612" s="59" t="n">
        <v>39000</v>
      </c>
      <c r="G612" s="59" t="n">
        <v>38000</v>
      </c>
      <c r="H612" s="59"/>
      <c r="I612" s="45" t="n">
        <v>864898</v>
      </c>
      <c r="J612" s="45" t="n">
        <v>71322</v>
      </c>
      <c r="K612" s="45" t="n">
        <v>341000</v>
      </c>
      <c r="L612" s="45" t="n">
        <v>81683</v>
      </c>
      <c r="M612" s="5"/>
      <c r="N612" s="5"/>
      <c r="O612" s="5"/>
      <c r="P612" s="5"/>
      <c r="Q612" s="5"/>
      <c r="R612" s="5"/>
      <c r="S612" s="5"/>
      <c r="T612" s="5"/>
      <c r="U612" s="5"/>
    </row>
    <row r="613">
      <c r="A613" s="56"/>
      <c r="B613" s="58" t="s">
        <v>1949</v>
      </c>
      <c r="C613" s="59" t="n">
        <f>C612-C664</f>
        <v>149</v>
      </c>
      <c r="D613" s="59" t="n">
        <f>D612-D664</f>
        <v>1302</v>
      </c>
      <c r="E613" s="59" t="n">
        <f>E612-E664</f>
        <v>7057</v>
      </c>
      <c r="F613" s="59" t="n">
        <f>F612-F664</f>
        <v>22000</v>
      </c>
      <c r="G613" s="59" t="n">
        <f>G612-G664</f>
        <v>27000</v>
      </c>
      <c r="H613" s="59"/>
      <c r="I613" s="45" t="n">
        <v>18458</v>
      </c>
      <c r="J613" s="45" t="n">
        <v>4702</v>
      </c>
      <c r="K613" s="45" t="n">
        <v>2000</v>
      </c>
      <c r="L613" s="45" t="n">
        <v>21800</v>
      </c>
      <c r="M613" s="5"/>
      <c r="N613" s="5"/>
      <c r="O613" s="5"/>
      <c r="P613" s="5"/>
      <c r="Q613" s="5"/>
      <c r="R613" s="5"/>
      <c r="S613" s="5"/>
      <c r="T613" s="5"/>
      <c r="U613" s="5"/>
    </row>
    <row r="614">
      <c r="A614" s="4" t="s">
        <v>1950</v>
      </c>
      <c r="B614" s="47" t="s">
        <v>1951</v>
      </c>
      <c r="C614" s="45" t="n">
        <v>0</v>
      </c>
      <c r="D614" s="45" t="n">
        <v>52714</v>
      </c>
      <c r="E614" s="45" t="n">
        <v>45431</v>
      </c>
      <c r="F614" s="45" t="n">
        <v>237369</v>
      </c>
      <c r="G614" s="45" t="n">
        <v>77076</v>
      </c>
      <c r="H614" s="45"/>
      <c r="I614" s="45" t="n">
        <v>77190</v>
      </c>
      <c r="J614" s="45" t="n">
        <v>8294</v>
      </c>
      <c r="K614" s="45" t="n">
        <v>2858</v>
      </c>
      <c r="L614" s="45" t="n">
        <v>11294</v>
      </c>
      <c r="M614" s="5"/>
      <c r="N614" s="5"/>
      <c r="O614" s="5"/>
      <c r="P614" s="5"/>
      <c r="Q614" s="5"/>
      <c r="R614" s="5"/>
      <c r="S614" s="5"/>
      <c r="T614" s="5"/>
      <c r="U614" s="5"/>
    </row>
    <row r="615">
      <c r="A615" s="4"/>
      <c r="B615" s="47" t="s">
        <v>1952</v>
      </c>
      <c r="C615" s="45"/>
      <c r="D615" s="45" t="n">
        <v>3104</v>
      </c>
      <c r="E615" s="45" t="n">
        <v>1353</v>
      </c>
      <c r="F615" s="45" t="n">
        <v>2284</v>
      </c>
      <c r="G615" s="45" t="n">
        <v>769</v>
      </c>
      <c r="H615" s="45"/>
      <c r="I615" s="45" t="n">
        <v>1167</v>
      </c>
      <c r="J615" s="45" t="n">
        <v>114</v>
      </c>
      <c r="K615" s="45" t="n">
        <v>27</v>
      </c>
      <c r="L615" s="45" t="n">
        <v>8</v>
      </c>
      <c r="M615" s="5"/>
      <c r="N615" s="5"/>
      <c r="O615" s="5"/>
      <c r="P615" s="5"/>
      <c r="Q615" s="5"/>
      <c r="R615" s="5"/>
      <c r="S615" s="5"/>
      <c r="T615" s="5"/>
      <c r="U615" s="5"/>
    </row>
    <row r="616">
      <c r="A616" s="4"/>
      <c r="B616" s="47" t="s">
        <v>1953</v>
      </c>
      <c r="C616" s="45" t="n">
        <v>1625019</v>
      </c>
      <c r="D616" s="45" t="n">
        <v>4719</v>
      </c>
      <c r="E616" s="45" t="n">
        <v>20880</v>
      </c>
      <c r="F616" s="45" t="n">
        <v>40000</v>
      </c>
      <c r="G616" s="45" t="n">
        <v>38000</v>
      </c>
      <c r="H616" s="45"/>
      <c r="I616" s="45" t="n">
        <v>865777</v>
      </c>
      <c r="J616" s="45" t="n">
        <v>71374</v>
      </c>
      <c r="K616" s="45" t="n">
        <v>341000</v>
      </c>
      <c r="L616" s="45" t="n">
        <v>81700</v>
      </c>
      <c r="M616" s="5"/>
      <c r="N616" s="5"/>
      <c r="O616" s="5"/>
      <c r="P616" s="5"/>
      <c r="Q616" s="5"/>
      <c r="R616" s="5"/>
      <c r="S616" s="5"/>
      <c r="T616" s="5"/>
      <c r="U616" s="5"/>
    </row>
    <row r="617">
      <c r="A617" s="4" t="s">
        <v>1954</v>
      </c>
      <c r="B617" s="47" t="s">
        <v>1955</v>
      </c>
      <c r="C617" s="45" t="n">
        <v>43342</v>
      </c>
      <c r="D617" s="45" t="n">
        <v>107304</v>
      </c>
      <c r="E617" s="45" t="n">
        <v>103000</v>
      </c>
      <c r="F617" s="45" t="n">
        <v>952000</v>
      </c>
      <c r="G617" s="45" t="n">
        <v>1060571</v>
      </c>
      <c r="H617" s="45"/>
      <c r="I617" s="45" t="n">
        <v>170281</v>
      </c>
      <c r="J617" s="45" t="n">
        <v>6856</v>
      </c>
      <c r="K617" s="45" t="s">
        <v>1956</v>
      </c>
      <c r="L617" s="45" t="n">
        <v>10877</v>
      </c>
      <c r="M617" s="5"/>
      <c r="N617" s="5"/>
      <c r="O617" s="5"/>
      <c r="P617" s="5"/>
      <c r="Q617" s="5"/>
      <c r="R617" s="5"/>
      <c r="S617" s="5"/>
      <c r="T617" s="5"/>
      <c r="U617" s="5"/>
    </row>
    <row r="618">
      <c r="A618" s="4"/>
      <c r="B618" s="47" t="s">
        <v>1957</v>
      </c>
      <c r="C618" s="60"/>
      <c r="D618" s="45" t="n">
        <v>6161</v>
      </c>
      <c r="E618" s="45" t="n">
        <v>2931</v>
      </c>
      <c r="F618" s="45" t="n">
        <v>18308</v>
      </c>
      <c r="G618" s="45" t="n">
        <v>50743</v>
      </c>
      <c r="H618" s="45"/>
      <c r="I618" s="45" t="n">
        <v>3480</v>
      </c>
      <c r="J618" s="45" t="n">
        <v>78</v>
      </c>
      <c r="K618" s="45" t="s">
        <v>1958</v>
      </c>
      <c r="L618" s="45" t="n">
        <v>28</v>
      </c>
      <c r="M618" s="5"/>
      <c r="N618" s="5"/>
      <c r="O618" s="5"/>
      <c r="P618" s="5"/>
      <c r="Q618" s="5"/>
      <c r="R618" s="5"/>
      <c r="S618" s="5"/>
      <c r="T618" s="5"/>
      <c r="U618" s="5"/>
    </row>
    <row r="619">
      <c r="A619" s="4"/>
      <c r="B619" s="47" t="s">
        <v>1959</v>
      </c>
      <c r="C619" s="45" t="n">
        <v>1625116</v>
      </c>
      <c r="D619" s="45" t="n">
        <v>4669</v>
      </c>
      <c r="E619" s="45" t="n">
        <v>20582</v>
      </c>
      <c r="F619" s="45" t="n">
        <v>39000</v>
      </c>
      <c r="G619" s="45" t="n">
        <v>38000</v>
      </c>
      <c r="H619" s="45"/>
      <c r="I619" s="45" t="n">
        <v>864898</v>
      </c>
      <c r="J619" s="45" t="n">
        <v>71322</v>
      </c>
      <c r="K619" s="45" t="n">
        <v>341000</v>
      </c>
      <c r="L619" s="45" t="n">
        <v>81683</v>
      </c>
      <c r="M619" s="5"/>
      <c r="N619" s="5"/>
      <c r="O619" s="5"/>
      <c r="P619" s="5"/>
      <c r="Q619" s="5"/>
      <c r="R619" s="5"/>
      <c r="S619" s="5"/>
      <c r="T619" s="5"/>
      <c r="U619" s="5"/>
    </row>
    <row r="620">
      <c r="A620" s="56" t="s">
        <v>1960</v>
      </c>
      <c r="B620" s="58" t="s">
        <v>1961</v>
      </c>
      <c r="C620" s="60" t="n">
        <v>54295</v>
      </c>
      <c r="D620" s="60" t="n">
        <v>175883</v>
      </c>
      <c r="E620" s="60" t="n">
        <v>356633</v>
      </c>
      <c r="F620" s="60" t="n">
        <v>762225</v>
      </c>
      <c r="G620" s="60" t="n">
        <v>1959055</v>
      </c>
      <c r="H620" s="60"/>
      <c r="I620" s="60" t="n">
        <v>2475073</v>
      </c>
      <c r="J620" s="60" t="n">
        <v>220600</v>
      </c>
      <c r="K620" s="60" t="n">
        <v>778011</v>
      </c>
      <c r="L620" s="60" t="n">
        <v>61527</v>
      </c>
      <c r="M620" s="5"/>
      <c r="N620" s="5"/>
      <c r="O620" s="5"/>
      <c r="P620" s="5"/>
      <c r="Q620" s="5"/>
      <c r="R620" s="5"/>
      <c r="S620" s="5"/>
      <c r="T620" s="5"/>
      <c r="U620" s="5"/>
    </row>
    <row r="621">
      <c r="A621" s="56"/>
      <c r="B621" s="58" t="s">
        <v>1962</v>
      </c>
      <c r="C621" s="60"/>
      <c r="D621" s="60" t="n">
        <v>3682</v>
      </c>
      <c r="E621" s="60" t="n">
        <v>25108</v>
      </c>
      <c r="F621" s="60" t="n">
        <v>22601</v>
      </c>
      <c r="G621" s="60" t="n">
        <v>15635</v>
      </c>
      <c r="H621" s="60"/>
      <c r="I621" s="60" t="n">
        <v>35868</v>
      </c>
      <c r="J621" s="60" t="n">
        <v>7346</v>
      </c>
      <c r="K621" s="60" t="n">
        <v>3004</v>
      </c>
      <c r="L621" s="60" t="n">
        <v>54</v>
      </c>
      <c r="M621" s="5"/>
      <c r="N621" s="5"/>
      <c r="O621" s="5"/>
      <c r="P621" s="5"/>
      <c r="Q621" s="5"/>
      <c r="R621" s="5"/>
      <c r="S621" s="5"/>
      <c r="T621" s="5"/>
      <c r="U621" s="5"/>
    </row>
    <row r="622">
      <c r="A622" s="56"/>
      <c r="B622" s="58" t="s">
        <v>1963</v>
      </c>
      <c r="C622" s="60" t="n">
        <v>1625084</v>
      </c>
      <c r="D622" s="60" t="n">
        <v>4528</v>
      </c>
      <c r="E622" s="60" t="n">
        <v>19944</v>
      </c>
      <c r="F622" s="60" t="n">
        <v>32000</v>
      </c>
      <c r="G622" s="60" t="n">
        <v>33000</v>
      </c>
      <c r="H622" s="60"/>
      <c r="I622" s="60" t="n">
        <v>863211</v>
      </c>
      <c r="J622" s="60" t="n">
        <v>71249</v>
      </c>
      <c r="K622" s="60" t="n">
        <v>341000</v>
      </c>
      <c r="L622" s="60" t="n">
        <v>81175</v>
      </c>
      <c r="M622" s="5"/>
      <c r="N622" s="5"/>
      <c r="O622" s="5"/>
      <c r="P622" s="5"/>
      <c r="Q622" s="5"/>
      <c r="R622" s="5"/>
      <c r="S622" s="5"/>
      <c r="T622" s="5"/>
      <c r="U622" s="5"/>
    </row>
    <row r="623">
      <c r="A623" s="4" t="s">
        <v>1964</v>
      </c>
      <c r="B623" s="47" t="s">
        <v>1965</v>
      </c>
      <c r="C623" s="45" t="n">
        <v>12415</v>
      </c>
      <c r="D623" s="45" t="n">
        <v>76020</v>
      </c>
      <c r="E623" s="45" t="n">
        <v>90000</v>
      </c>
      <c r="F623" s="45" t="n">
        <v>137000</v>
      </c>
      <c r="G623" s="45" t="n">
        <v>508168</v>
      </c>
      <c r="H623" s="45"/>
      <c r="I623" s="8" t="n">
        <v>2096027</v>
      </c>
      <c r="J623" s="8" t="n">
        <v>19065</v>
      </c>
      <c r="K623" s="8" t="n">
        <v>530195</v>
      </c>
      <c r="L623" s="8" t="n">
        <v>17568</v>
      </c>
      <c r="M623" s="5"/>
      <c r="N623" s="5"/>
      <c r="O623" s="5"/>
      <c r="P623" s="5"/>
      <c r="Q623" s="5"/>
      <c r="R623" s="5"/>
      <c r="S623" s="5"/>
      <c r="T623" s="5"/>
      <c r="U623" s="5"/>
    </row>
    <row r="624">
      <c r="A624" s="4"/>
      <c r="B624" s="47" t="s">
        <v>1966</v>
      </c>
      <c r="C624" s="45"/>
      <c r="D624" s="45" t="n">
        <v>1126</v>
      </c>
      <c r="E624" s="45" t="n">
        <v>5143</v>
      </c>
      <c r="F624" s="45" t="n">
        <v>6123</v>
      </c>
      <c r="G624" s="45" t="n">
        <v>6522</v>
      </c>
      <c r="H624" s="45"/>
      <c r="I624" s="8" t="n">
        <v>34513</v>
      </c>
      <c r="J624" s="8" t="n">
        <v>217</v>
      </c>
      <c r="K624" s="8" t="n">
        <v>2587</v>
      </c>
      <c r="L624" s="8" t="n">
        <v>17</v>
      </c>
      <c r="M624" s="5"/>
      <c r="N624" s="5"/>
      <c r="O624" s="5"/>
      <c r="P624" s="5"/>
      <c r="Q624" s="5"/>
      <c r="R624" s="5"/>
      <c r="S624" s="5"/>
      <c r="T624" s="5"/>
      <c r="U624" s="5"/>
    </row>
    <row r="625">
      <c r="A625" s="4"/>
      <c r="B625" s="47" t="s">
        <v>1967</v>
      </c>
      <c r="C625" s="45" t="n">
        <v>1625084</v>
      </c>
      <c r="D625" s="45" t="n">
        <v>4528</v>
      </c>
      <c r="E625" s="45" t="n">
        <v>19944</v>
      </c>
      <c r="F625" s="45" t="n">
        <v>32000</v>
      </c>
      <c r="G625" s="45" t="n">
        <v>33000</v>
      </c>
      <c r="H625" s="45"/>
      <c r="I625" s="8" t="n">
        <v>863211</v>
      </c>
      <c r="J625" s="8" t="n">
        <v>71249</v>
      </c>
      <c r="K625" s="8" t="n">
        <v>341000</v>
      </c>
      <c r="L625" s="8" t="n">
        <v>81175</v>
      </c>
      <c r="M625" s="5"/>
      <c r="N625" s="5"/>
      <c r="O625" s="5"/>
      <c r="P625" s="5"/>
      <c r="Q625" s="5"/>
      <c r="R625" s="5"/>
      <c r="S625" s="5"/>
      <c r="T625" s="5"/>
      <c r="U625" s="5"/>
    </row>
    <row r="626">
      <c r="A626" s="4" t="s">
        <v>1968</v>
      </c>
      <c r="B626" s="47" t="s">
        <v>1969</v>
      </c>
      <c r="C626" s="45" t="n">
        <v>18303</v>
      </c>
      <c r="D626" s="45" t="n">
        <v>24598</v>
      </c>
      <c r="E626" s="45" t="n">
        <v>73000</v>
      </c>
      <c r="F626" s="45" t="n">
        <v>379000</v>
      </c>
      <c r="G626" s="45" t="n">
        <v>385560</v>
      </c>
      <c r="H626" s="45"/>
      <c r="I626" s="8" t="n">
        <v>75744</v>
      </c>
      <c r="J626" s="8" t="n">
        <v>21396</v>
      </c>
      <c r="K626" s="8" t="n">
        <v>103517</v>
      </c>
      <c r="L626" s="8" t="n">
        <v>17237</v>
      </c>
      <c r="M626" s="5"/>
      <c r="N626" s="5"/>
      <c r="O626" s="5"/>
      <c r="P626" s="5"/>
      <c r="Q626" s="5"/>
      <c r="R626" s="5"/>
      <c r="S626" s="5"/>
      <c r="T626" s="5"/>
      <c r="U626" s="5"/>
    </row>
    <row r="627">
      <c r="A627" s="4"/>
      <c r="B627" s="47" t="s">
        <v>1970</v>
      </c>
      <c r="C627" s="45"/>
      <c r="D627" s="45" t="n">
        <v>695</v>
      </c>
      <c r="E627" s="45" t="n">
        <v>9432</v>
      </c>
      <c r="F627" s="45" t="n">
        <v>10078</v>
      </c>
      <c r="G627" s="45" t="n">
        <v>1613</v>
      </c>
      <c r="H627" s="45"/>
      <c r="I627" s="8" t="n">
        <v>851</v>
      </c>
      <c r="J627" s="8" t="n">
        <v>262</v>
      </c>
      <c r="K627" s="8" t="n">
        <v>198</v>
      </c>
      <c r="L627" s="8" t="n">
        <v>17</v>
      </c>
      <c r="M627" s="5"/>
      <c r="N627" s="5"/>
      <c r="O627" s="5"/>
      <c r="P627" s="5"/>
      <c r="Q627" s="5"/>
      <c r="R627" s="5"/>
      <c r="S627" s="5"/>
      <c r="T627" s="5"/>
      <c r="U627" s="5"/>
    </row>
    <row r="628">
      <c r="A628" s="4"/>
      <c r="B628" s="47" t="s">
        <v>1971</v>
      </c>
      <c r="C628" s="45" t="n">
        <v>1624851</v>
      </c>
      <c r="D628" s="45" t="n">
        <v>4493</v>
      </c>
      <c r="E628" s="45" t="n">
        <v>19502</v>
      </c>
      <c r="F628" s="45" t="n">
        <v>30000</v>
      </c>
      <c r="G628" s="45" t="n">
        <v>32000</v>
      </c>
      <c r="H628" s="45"/>
      <c r="I628" s="8" t="n">
        <v>860332</v>
      </c>
      <c r="J628" s="8" t="n">
        <v>70945</v>
      </c>
      <c r="K628" s="8" t="n">
        <v>341000</v>
      </c>
      <c r="L628" s="8" t="n">
        <v>80374</v>
      </c>
      <c r="M628" s="5"/>
      <c r="N628" s="5"/>
      <c r="O628" s="5"/>
      <c r="P628" s="5"/>
      <c r="Q628" s="5"/>
      <c r="R628" s="5"/>
      <c r="S628" s="5"/>
      <c r="T628" s="5"/>
      <c r="U628" s="5"/>
    </row>
    <row r="629">
      <c r="A629" s="4" t="s">
        <v>1972</v>
      </c>
      <c r="B629" s="47" t="s">
        <v>1973</v>
      </c>
      <c r="C629" s="45" t="n">
        <v>10693</v>
      </c>
      <c r="D629" s="45" t="n">
        <v>32858</v>
      </c>
      <c r="E629" s="45" t="n">
        <v>84043</v>
      </c>
      <c r="F629" s="45" t="n">
        <v>107000</v>
      </c>
      <c r="G629" s="45" t="n">
        <v>531934</v>
      </c>
      <c r="H629" s="45"/>
      <c r="I629" s="8" t="n">
        <v>78480</v>
      </c>
      <c r="J629" s="8" t="n">
        <v>46097</v>
      </c>
      <c r="K629" s="8" t="n">
        <v>92375</v>
      </c>
      <c r="L629" s="8" t="n">
        <v>13435</v>
      </c>
      <c r="M629" s="5"/>
      <c r="N629" s="5"/>
      <c r="O629" s="5"/>
      <c r="P629" s="5"/>
      <c r="Q629" s="5"/>
      <c r="R629" s="5"/>
      <c r="S629" s="5"/>
      <c r="T629" s="5"/>
      <c r="U629" s="5"/>
    </row>
    <row r="630">
      <c r="A630" s="4"/>
      <c r="B630" s="47" t="s">
        <v>1974</v>
      </c>
      <c r="C630" s="45"/>
      <c r="D630" s="45" t="n">
        <v>888</v>
      </c>
      <c r="E630" s="45" t="n">
        <v>7013</v>
      </c>
      <c r="F630" s="45" t="n">
        <v>3648</v>
      </c>
      <c r="G630" s="45" t="n">
        <v>4601</v>
      </c>
      <c r="H630" s="45"/>
      <c r="I630" s="8" t="n">
        <v>1026</v>
      </c>
      <c r="J630" s="8" t="n">
        <v>1340</v>
      </c>
      <c r="K630" s="8" t="n">
        <v>93</v>
      </c>
      <c r="L630" s="8" t="n">
        <v>5</v>
      </c>
      <c r="M630" s="5"/>
      <c r="N630" s="5"/>
      <c r="O630" s="5"/>
      <c r="P630" s="5"/>
      <c r="Q630" s="5"/>
      <c r="R630" s="5"/>
      <c r="S630" s="5"/>
      <c r="T630" s="5"/>
      <c r="U630" s="5"/>
    </row>
    <row r="631">
      <c r="A631" s="4"/>
      <c r="B631" s="47" t="s">
        <v>1975</v>
      </c>
      <c r="C631" s="45" t="n">
        <v>1624802</v>
      </c>
      <c r="D631" s="45" t="n">
        <v>4420</v>
      </c>
      <c r="E631" s="45" t="n">
        <v>19106</v>
      </c>
      <c r="F631" s="45" t="n">
        <v>25000</v>
      </c>
      <c r="G631" s="45" t="n">
        <v>32000</v>
      </c>
      <c r="H631" s="45"/>
      <c r="I631" s="8" t="n">
        <v>859593</v>
      </c>
      <c r="J631" s="8" t="n">
        <v>70794</v>
      </c>
      <c r="K631" s="8" t="n">
        <v>357000</v>
      </c>
      <c r="L631" s="8" t="n">
        <v>79295</v>
      </c>
      <c r="M631" s="5"/>
      <c r="N631" s="5"/>
      <c r="O631" s="5"/>
      <c r="P631" s="5"/>
      <c r="Q631" s="5"/>
      <c r="R631" s="5"/>
      <c r="S631" s="5"/>
      <c r="T631" s="5"/>
      <c r="U631" s="5"/>
    </row>
    <row r="632">
      <c r="A632" s="4" t="s">
        <v>1976</v>
      </c>
      <c r="B632" s="47" t="s">
        <v>1977</v>
      </c>
      <c r="C632" s="45" t="n">
        <v>12884</v>
      </c>
      <c r="D632" s="45" t="n">
        <v>26713</v>
      </c>
      <c r="E632" s="45" t="n">
        <v>69000</v>
      </c>
      <c r="F632" s="45" t="n">
        <v>124000</v>
      </c>
      <c r="G632" s="45" t="n">
        <v>406693</v>
      </c>
      <c r="H632" s="45"/>
      <c r="I632" s="8" t="n">
        <v>117385</v>
      </c>
      <c r="J632" s="8" t="n">
        <v>124631</v>
      </c>
      <c r="K632" s="8" t="n">
        <v>40479</v>
      </c>
      <c r="L632" s="8" t="n">
        <v>9897</v>
      </c>
      <c r="M632" s="5"/>
      <c r="N632" s="5"/>
      <c r="O632" s="5"/>
      <c r="P632" s="5"/>
      <c r="Q632" s="5"/>
      <c r="R632" s="5"/>
      <c r="S632" s="5"/>
      <c r="T632" s="5"/>
      <c r="U632" s="5"/>
    </row>
    <row r="633">
      <c r="A633" s="4"/>
      <c r="B633" s="47" t="s">
        <v>1978</v>
      </c>
      <c r="C633" s="45"/>
      <c r="D633" s="45" t="n">
        <v>873</v>
      </c>
      <c r="E633" s="45" t="n">
        <v>2590</v>
      </c>
      <c r="F633" s="45" t="n">
        <v>2652</v>
      </c>
      <c r="G633" s="45" t="n">
        <v>2199</v>
      </c>
      <c r="H633" s="45"/>
      <c r="I633" s="8" t="n">
        <v>1901</v>
      </c>
      <c r="J633" s="8" t="n">
        <v>5443</v>
      </c>
      <c r="K633" s="8" t="n">
        <v>90</v>
      </c>
      <c r="L633" s="8" t="n">
        <v>11</v>
      </c>
      <c r="M633" s="5"/>
      <c r="N633" s="5"/>
      <c r="O633" s="5"/>
      <c r="P633" s="5"/>
      <c r="Q633" s="5"/>
      <c r="R633" s="5"/>
      <c r="S633" s="5"/>
      <c r="T633" s="5"/>
      <c r="U633" s="5"/>
    </row>
    <row r="634">
      <c r="A634" s="4"/>
      <c r="B634" s="47" t="s">
        <v>1979</v>
      </c>
      <c r="C634" s="45" t="n">
        <v>1624829</v>
      </c>
      <c r="D634" s="45" t="n">
        <v>4309</v>
      </c>
      <c r="E634" s="45" t="n">
        <v>18775</v>
      </c>
      <c r="F634" s="45" t="n">
        <v>22000</v>
      </c>
      <c r="G634" s="45" t="n">
        <v>30000</v>
      </c>
      <c r="H634" s="45"/>
      <c r="I634" s="8" t="n">
        <v>858403</v>
      </c>
      <c r="J634" s="8" t="n">
        <v>70317</v>
      </c>
      <c r="K634" s="8" t="n">
        <v>357000</v>
      </c>
      <c r="L634" s="8" t="n">
        <v>77975</v>
      </c>
      <c r="M634" s="5"/>
      <c r="N634" s="5"/>
      <c r="O634" s="5"/>
      <c r="P634" s="5"/>
      <c r="Q634" s="5"/>
      <c r="R634" s="5"/>
      <c r="S634" s="5"/>
      <c r="T634" s="5"/>
      <c r="U634" s="5"/>
    </row>
    <row r="635">
      <c r="A635" s="4" t="s">
        <v>1980</v>
      </c>
      <c r="B635" s="47" t="s">
        <v>1981</v>
      </c>
      <c r="C635" s="45" t="n">
        <v>9133</v>
      </c>
      <c r="D635" s="45" t="n">
        <v>67614</v>
      </c>
      <c r="E635" s="45" t="n">
        <v>74887</v>
      </c>
      <c r="F635" s="45" t="n">
        <v>172000</v>
      </c>
      <c r="G635" s="45" t="n">
        <v>264921</v>
      </c>
      <c r="H635" s="45"/>
      <c r="I635" s="8" t="n">
        <v>108652</v>
      </c>
      <c r="J635" s="8" t="n">
        <v>20905</v>
      </c>
      <c r="K635" s="8" t="n">
        <v>85622</v>
      </c>
      <c r="L635" s="8" t="n">
        <v>15234</v>
      </c>
      <c r="M635" s="5"/>
      <c r="N635" s="5"/>
      <c r="O635" s="5"/>
      <c r="P635" s="5"/>
      <c r="Q635" s="5"/>
      <c r="R635" s="5"/>
      <c r="S635" s="5"/>
      <c r="T635" s="5"/>
      <c r="U635" s="5"/>
    </row>
    <row r="636">
      <c r="A636" s="4"/>
      <c r="B636" s="47" t="s">
        <v>1982</v>
      </c>
      <c r="C636" s="60"/>
      <c r="D636" s="45" t="n">
        <v>2092</v>
      </c>
      <c r="E636" s="45" t="n">
        <v>2125</v>
      </c>
      <c r="F636" s="45" t="n">
        <v>1755</v>
      </c>
      <c r="G636" s="45" t="n">
        <v>2133</v>
      </c>
      <c r="H636" s="45"/>
      <c r="I636" s="8" t="n">
        <v>1451</v>
      </c>
      <c r="J636" s="8" t="n">
        <v>257</v>
      </c>
      <c r="K636" s="8" t="n">
        <v>207</v>
      </c>
      <c r="L636" s="8" t="n">
        <v>17</v>
      </c>
      <c r="M636" s="5"/>
      <c r="N636" s="5"/>
      <c r="O636" s="5"/>
      <c r="P636" s="5"/>
      <c r="Q636" s="5"/>
      <c r="R636" s="5"/>
      <c r="S636" s="5"/>
      <c r="T636" s="5"/>
      <c r="U636" s="5"/>
    </row>
    <row r="637">
      <c r="A637" s="4"/>
      <c r="B637" s="47" t="s">
        <v>1983</v>
      </c>
      <c r="C637" s="45" t="n">
        <v>1624824</v>
      </c>
      <c r="D637" s="45" t="n">
        <v>4189</v>
      </c>
      <c r="E637" s="45" t="n">
        <v>18263</v>
      </c>
      <c r="F637" s="45" t="n">
        <v>21000</v>
      </c>
      <c r="G637" s="45" t="n">
        <v>29000</v>
      </c>
      <c r="H637" s="45"/>
      <c r="I637" s="8" t="n">
        <v>856115</v>
      </c>
      <c r="J637" s="8" t="n">
        <v>68328</v>
      </c>
      <c r="K637" s="8" t="n">
        <v>357000</v>
      </c>
      <c r="L637" s="43" t="n">
        <v>75981</v>
      </c>
      <c r="M637" s="5"/>
      <c r="N637" s="5"/>
      <c r="O637" s="5"/>
      <c r="P637" s="5"/>
      <c r="Q637" s="5"/>
      <c r="R637" s="5"/>
      <c r="S637" s="5"/>
      <c r="T637" s="5"/>
      <c r="U637" s="5"/>
    </row>
    <row r="638">
      <c r="A638" s="56" t="s">
        <v>1984</v>
      </c>
      <c r="B638" s="58" t="s">
        <v>1985</v>
      </c>
      <c r="C638" s="60" t="n">
        <v>172917</v>
      </c>
      <c r="D638" s="60" t="n">
        <v>242096</v>
      </c>
      <c r="E638" s="60" t="n">
        <v>636945</v>
      </c>
      <c r="F638" s="60" t="n">
        <v>649000</v>
      </c>
      <c r="G638" s="60" t="n">
        <v>1815595</v>
      </c>
      <c r="H638" s="60"/>
      <c r="I638" s="8" t="n">
        <v>962498</v>
      </c>
      <c r="J638" s="8" t="n">
        <v>247835</v>
      </c>
      <c r="K638" s="8" t="n">
        <v>480884</v>
      </c>
      <c r="L638" s="8" t="n">
        <v>83357</v>
      </c>
      <c r="M638" s="5"/>
      <c r="N638" s="5"/>
      <c r="O638" s="5"/>
      <c r="P638" s="5"/>
      <c r="Q638" s="5"/>
      <c r="R638" s="5"/>
      <c r="S638" s="5"/>
      <c r="T638" s="5"/>
      <c r="U638" s="5"/>
    </row>
    <row r="639">
      <c r="A639" s="56"/>
      <c r="B639" s="58" t="s">
        <v>1986</v>
      </c>
      <c r="C639" s="60"/>
      <c r="D639" s="60" t="n">
        <v>10400</v>
      </c>
      <c r="E639" s="60" t="n">
        <v>11750</v>
      </c>
      <c r="F639" s="60" t="n">
        <v>13366</v>
      </c>
      <c r="G639" s="60" t="n">
        <v>33870</v>
      </c>
      <c r="H639" s="60"/>
      <c r="I639" s="8" t="n">
        <v>21531</v>
      </c>
      <c r="J639" s="8" t="n">
        <v>6388</v>
      </c>
      <c r="K639" s="8" t="n">
        <v>11250</v>
      </c>
      <c r="L639" s="8" t="n">
        <v>133</v>
      </c>
      <c r="M639" s="5"/>
      <c r="N639" s="5"/>
      <c r="O639" s="5"/>
      <c r="P639" s="5"/>
      <c r="Q639" s="5"/>
      <c r="R639" s="5"/>
      <c r="S639" s="5"/>
      <c r="T639" s="5"/>
      <c r="U639" s="5"/>
    </row>
    <row r="640">
      <c r="A640" s="56"/>
      <c r="B640" s="58" t="s">
        <v>1987</v>
      </c>
      <c r="C640" s="60" t="n">
        <v>1624808</v>
      </c>
      <c r="D640" s="60" t="n">
        <v>4051</v>
      </c>
      <c r="E640" s="60" t="n">
        <v>18019</v>
      </c>
      <c r="F640" s="60" t="n">
        <v>21000</v>
      </c>
      <c r="G640" s="60" t="n">
        <v>29000</v>
      </c>
      <c r="H640" s="60"/>
      <c r="I640" s="8" t="n">
        <v>855860</v>
      </c>
      <c r="J640" s="8" t="n">
        <v>68301</v>
      </c>
      <c r="K640" s="8" t="n">
        <v>357000</v>
      </c>
      <c r="L640" s="8" t="n">
        <v>74991</v>
      </c>
      <c r="M640" s="5"/>
      <c r="N640" s="5"/>
      <c r="O640" s="5"/>
      <c r="P640" s="5"/>
      <c r="Q640" s="5"/>
      <c r="R640" s="5"/>
      <c r="S640" s="5"/>
      <c r="T640" s="5"/>
      <c r="U640" s="5"/>
    </row>
    <row r="641">
      <c r="A641" s="4" t="s">
        <v>1988</v>
      </c>
      <c r="B641" s="47" t="s">
        <v>1989</v>
      </c>
      <c r="C641" s="45" t="n">
        <v>19761</v>
      </c>
      <c r="D641" s="45" t="n">
        <v>113647</v>
      </c>
      <c r="E641" s="45" t="n">
        <v>92938</v>
      </c>
      <c r="F641" s="45" t="n">
        <v>102000</v>
      </c>
      <c r="G641" s="45" t="n">
        <v>352155</v>
      </c>
      <c r="H641" s="45"/>
      <c r="I641" s="8" t="n">
        <v>593728</v>
      </c>
      <c r="J641" s="8" t="n">
        <v>167020</v>
      </c>
      <c r="K641" s="8" t="n">
        <v>129185</v>
      </c>
      <c r="L641" s="8" t="n">
        <v>18723</v>
      </c>
      <c r="M641" s="5"/>
      <c r="N641" s="5"/>
      <c r="O641" s="5"/>
      <c r="P641" s="5"/>
      <c r="Q641" s="5"/>
      <c r="R641" s="5"/>
      <c r="S641" s="5"/>
      <c r="T641" s="5"/>
      <c r="U641" s="5"/>
    </row>
    <row r="642">
      <c r="A642" s="4"/>
      <c r="B642" s="47" t="s">
        <v>1990</v>
      </c>
      <c r="C642" s="45"/>
      <c r="D642" s="45" t="n">
        <v>5163</v>
      </c>
      <c r="E642" s="45" t="n">
        <v>2151</v>
      </c>
      <c r="F642" s="45" t="n">
        <v>2276</v>
      </c>
      <c r="G642" s="45" t="n">
        <v>2448</v>
      </c>
      <c r="H642" s="45"/>
      <c r="I642" s="8" t="n">
        <v>13356</v>
      </c>
      <c r="J642" s="8" t="n">
        <v>5015</v>
      </c>
      <c r="K642" s="8" t="n">
        <v>4749</v>
      </c>
      <c r="L642" s="8" t="n">
        <v>24</v>
      </c>
      <c r="M642" s="5"/>
      <c r="N642" s="5"/>
      <c r="O642" s="5"/>
      <c r="P642" s="5"/>
      <c r="Q642" s="5"/>
      <c r="R642" s="5"/>
      <c r="S642" s="5"/>
      <c r="T642" s="5"/>
      <c r="U642" s="5"/>
    </row>
    <row r="643">
      <c r="A643" s="4"/>
      <c r="B643" s="47" t="s">
        <v>1991</v>
      </c>
      <c r="C643" s="45" t="n">
        <v>1624751</v>
      </c>
      <c r="D643" s="45" t="n">
        <v>3900</v>
      </c>
      <c r="E643" s="45" t="n">
        <v>17874</v>
      </c>
      <c r="F643" s="45" t="n">
        <v>21000</v>
      </c>
      <c r="G643" s="45" t="n">
        <v>29000</v>
      </c>
      <c r="H643" s="45"/>
      <c r="I643" s="8" t="n">
        <v>855440</v>
      </c>
      <c r="J643" s="8" t="n">
        <v>68225</v>
      </c>
      <c r="K643" s="8" t="n">
        <v>357000</v>
      </c>
      <c r="L643" s="8" t="n">
        <v>73716</v>
      </c>
      <c r="M643" s="5"/>
      <c r="N643" s="5"/>
      <c r="O643" s="5"/>
      <c r="P643" s="5"/>
      <c r="Q643" s="5"/>
      <c r="R643" s="5"/>
      <c r="S643" s="5"/>
      <c r="T643" s="5"/>
      <c r="U643" s="5"/>
    </row>
    <row r="644">
      <c r="A644" s="4" t="s">
        <v>1992</v>
      </c>
      <c r="B644" s="47" t="s">
        <v>1993</v>
      </c>
      <c r="C644" s="45" t="n">
        <v>28057</v>
      </c>
      <c r="D644" s="45" t="n">
        <v>35996</v>
      </c>
      <c r="E644" s="45" t="n">
        <v>157426</v>
      </c>
      <c r="F644" s="45" t="n">
        <v>267000</v>
      </c>
      <c r="G644" s="45" t="n">
        <v>473760</v>
      </c>
      <c r="H644" s="45"/>
      <c r="I644" s="8" t="n">
        <v>170001</v>
      </c>
      <c r="J644" s="8" t="n">
        <v>18928</v>
      </c>
      <c r="K644" s="8" t="n">
        <v>219190</v>
      </c>
      <c r="L644" s="8" t="n">
        <v>21362</v>
      </c>
      <c r="M644" s="5"/>
      <c r="N644" s="5"/>
      <c r="O644" s="5"/>
      <c r="P644" s="5"/>
      <c r="Q644" s="5"/>
      <c r="R644" s="5"/>
      <c r="S644" s="5"/>
      <c r="T644" s="5"/>
      <c r="U644" s="5"/>
    </row>
    <row r="645">
      <c r="A645" s="4"/>
      <c r="B645" s="47" t="s">
        <v>1994</v>
      </c>
      <c r="C645" s="45"/>
      <c r="D645" s="45" t="n">
        <v>1341</v>
      </c>
      <c r="E645" s="45" t="n">
        <v>3741</v>
      </c>
      <c r="F645" s="45" t="n">
        <v>6487</v>
      </c>
      <c r="G645" s="45" t="n">
        <v>6380</v>
      </c>
      <c r="H645" s="45"/>
      <c r="I645" s="8" t="n">
        <v>4983</v>
      </c>
      <c r="J645" s="8" t="n">
        <v>335</v>
      </c>
      <c r="K645" s="8" t="n">
        <v>5734</v>
      </c>
      <c r="L645" s="8" t="n">
        <v>50</v>
      </c>
      <c r="M645" s="5"/>
      <c r="N645" s="5"/>
      <c r="O645" s="5"/>
      <c r="P645" s="5"/>
      <c r="Q645" s="5"/>
      <c r="R645" s="5"/>
      <c r="S645" s="5"/>
      <c r="T645" s="5"/>
      <c r="U645" s="5"/>
    </row>
    <row r="646">
      <c r="A646" s="4"/>
      <c r="B646" s="47" t="s">
        <v>1995</v>
      </c>
      <c r="C646" s="45" t="n">
        <v>1625002</v>
      </c>
      <c r="D646" s="45" t="n">
        <v>3501</v>
      </c>
      <c r="E646" s="45" t="n">
        <v>17372</v>
      </c>
      <c r="F646" s="45" t="n">
        <v>21000</v>
      </c>
      <c r="G646" s="45" t="n">
        <v>28000</v>
      </c>
      <c r="H646" s="45"/>
      <c r="I646" s="8" t="n">
        <v>851685</v>
      </c>
      <c r="J646" s="8" t="n">
        <v>67629</v>
      </c>
      <c r="K646" s="8" t="n">
        <v>356000</v>
      </c>
      <c r="L646" s="8" t="n">
        <v>5155</v>
      </c>
      <c r="M646" s="5"/>
      <c r="N646" s="5"/>
      <c r="O646" s="5"/>
      <c r="P646" s="5"/>
      <c r="Q646" s="5"/>
      <c r="R646" s="5"/>
      <c r="S646" s="5"/>
      <c r="T646" s="5"/>
      <c r="U646" s="5"/>
    </row>
    <row r="647">
      <c r="A647" s="4" t="s">
        <v>1996</v>
      </c>
      <c r="B647" s="47" t="s">
        <v>1997</v>
      </c>
      <c r="C647" s="45" t="n">
        <v>22274</v>
      </c>
      <c r="D647" s="45" t="n">
        <v>32111</v>
      </c>
      <c r="E647" s="45" t="n">
        <v>232522</v>
      </c>
      <c r="F647" s="45" t="n">
        <v>53000</v>
      </c>
      <c r="G647" s="45" t="n">
        <v>148585</v>
      </c>
      <c r="H647" s="45"/>
      <c r="I647" s="8" t="n">
        <v>56817</v>
      </c>
      <c r="J647" s="8" t="n">
        <v>14094</v>
      </c>
      <c r="K647" s="8" t="n">
        <v>70617</v>
      </c>
      <c r="L647" s="8" t="n">
        <v>17790</v>
      </c>
      <c r="M647" s="5"/>
      <c r="N647" s="5"/>
      <c r="O647" s="5"/>
      <c r="P647" s="5"/>
      <c r="Q647" s="5"/>
      <c r="R647" s="5"/>
      <c r="S647" s="5"/>
      <c r="T647" s="5"/>
      <c r="U647" s="5"/>
    </row>
    <row r="648">
      <c r="A648" s="4"/>
      <c r="B648" s="47" t="s">
        <v>1998</v>
      </c>
      <c r="C648" s="45"/>
      <c r="D648" s="45" t="n">
        <v>1542</v>
      </c>
      <c r="E648" s="45" t="n">
        <v>2774</v>
      </c>
      <c r="F648" s="45" t="n">
        <v>833</v>
      </c>
      <c r="G648" s="45" t="n">
        <v>2648</v>
      </c>
      <c r="H648" s="45"/>
      <c r="I648" s="8" t="n">
        <v>837</v>
      </c>
      <c r="J648" s="8" t="n">
        <v>149</v>
      </c>
      <c r="K648" s="8" t="n">
        <v>301</v>
      </c>
      <c r="L648" s="8" t="n">
        <v>21</v>
      </c>
      <c r="M648" s="5"/>
      <c r="N648" s="5"/>
      <c r="O648" s="5"/>
      <c r="P648" s="5"/>
      <c r="Q648" s="5"/>
      <c r="R648" s="5"/>
      <c r="S648" s="5"/>
      <c r="T648" s="5"/>
      <c r="U648" s="5"/>
    </row>
    <row r="649">
      <c r="A649" s="4"/>
      <c r="B649" s="47" t="s">
        <v>1999</v>
      </c>
      <c r="C649" s="45" t="n">
        <v>1625407</v>
      </c>
      <c r="D649" s="45" t="n">
        <v>3441</v>
      </c>
      <c r="E649" s="45" t="n">
        <v>15977</v>
      </c>
      <c r="F649" s="45" t="n">
        <v>19000</v>
      </c>
      <c r="G649" s="45" t="n">
        <v>26000</v>
      </c>
      <c r="H649" s="45"/>
      <c r="I649" s="8" t="n">
        <v>850762</v>
      </c>
      <c r="J649" s="8" t="n">
        <v>67448</v>
      </c>
      <c r="K649" s="8" t="n">
        <v>356000</v>
      </c>
      <c r="L649" s="8" t="n">
        <v>70717</v>
      </c>
      <c r="M649" s="5"/>
      <c r="N649" s="5"/>
      <c r="O649" s="5"/>
      <c r="P649" s="5"/>
      <c r="Q649" s="5"/>
      <c r="R649" s="5"/>
      <c r="S649" s="5"/>
      <c r="T649" s="5"/>
      <c r="U649" s="5"/>
    </row>
    <row r="650">
      <c r="A650" s="4" t="s">
        <v>2000</v>
      </c>
      <c r="B650" s="47" t="s">
        <v>2001</v>
      </c>
      <c r="C650" s="45" t="n">
        <v>38718</v>
      </c>
      <c r="D650" s="45" t="n">
        <v>2982</v>
      </c>
      <c r="E650" s="45" t="n">
        <v>177702</v>
      </c>
      <c r="F650" s="45" t="n">
        <v>13000</v>
      </c>
      <c r="G650" s="45" t="n">
        <v>2260751</v>
      </c>
      <c r="H650" s="45"/>
      <c r="I650" s="8" t="n">
        <v>81817</v>
      </c>
      <c r="J650" s="8" t="n">
        <v>39747</v>
      </c>
      <c r="K650" s="8" t="n">
        <v>30270</v>
      </c>
      <c r="L650" s="8" t="n">
        <v>20482</v>
      </c>
      <c r="M650" s="5"/>
      <c r="N650" s="5"/>
      <c r="O650" s="5"/>
      <c r="P650" s="5"/>
      <c r="Q650" s="5"/>
      <c r="R650" s="5"/>
      <c r="S650" s="5"/>
      <c r="T650" s="5"/>
      <c r="U650" s="5"/>
    </row>
    <row r="651">
      <c r="A651" s="4"/>
      <c r="B651" s="47" t="s">
        <v>2002</v>
      </c>
      <c r="C651" s="60"/>
      <c r="D651" s="45" t="n">
        <v>128</v>
      </c>
      <c r="E651" s="45" t="n">
        <v>2978</v>
      </c>
      <c r="F651" s="45" t="n">
        <v>3136</v>
      </c>
      <c r="G651" s="45" t="n">
        <v>76786</v>
      </c>
      <c r="H651" s="45"/>
      <c r="I651" s="8" t="n">
        <v>1594</v>
      </c>
      <c r="J651" s="8" t="n">
        <v>751</v>
      </c>
      <c r="K651" s="8" t="n">
        <v>336</v>
      </c>
      <c r="L651" s="8" t="n">
        <v>34</v>
      </c>
      <c r="M651" s="5"/>
      <c r="N651" s="5"/>
      <c r="O651" s="5"/>
      <c r="P651" s="5"/>
      <c r="Q651" s="5"/>
      <c r="R651" s="5"/>
      <c r="S651" s="5"/>
      <c r="T651" s="5"/>
      <c r="U651" s="5"/>
    </row>
    <row r="652">
      <c r="A652" s="4"/>
      <c r="B652" s="47" t="s">
        <v>2003</v>
      </c>
      <c r="C652" s="45" t="n">
        <v>1624894</v>
      </c>
      <c r="D652" s="45" t="n">
        <v>3404</v>
      </c>
      <c r="E652" s="45" t="n">
        <v>15536</v>
      </c>
      <c r="F652" s="45" t="n">
        <v>19000</v>
      </c>
      <c r="G652" s="45" t="n">
        <v>25000</v>
      </c>
      <c r="H652" s="45"/>
      <c r="I652" s="8" t="n">
        <v>850080</v>
      </c>
      <c r="J652" s="8" t="n">
        <v>67383</v>
      </c>
      <c r="K652" s="8" t="n">
        <v>340000</v>
      </c>
      <c r="L652" s="8" t="n">
        <v>68591</v>
      </c>
      <c r="M652" s="5"/>
      <c r="N652" s="5"/>
      <c r="O652" s="5"/>
      <c r="P652" s="5"/>
      <c r="Q652" s="5"/>
      <c r="R652" s="5"/>
      <c r="S652" s="5"/>
      <c r="T652" s="5"/>
      <c r="U652" s="5"/>
    </row>
    <row r="653">
      <c r="A653" s="56" t="s">
        <v>2004</v>
      </c>
      <c r="B653" s="58" t="s">
        <v>2005</v>
      </c>
      <c r="C653" s="60" t="n">
        <v>231459</v>
      </c>
      <c r="D653" s="60" t="n">
        <v>50712</v>
      </c>
      <c r="E653" s="60" t="n">
        <v>1176040</v>
      </c>
      <c r="F653" s="60" t="n">
        <v>604671</v>
      </c>
      <c r="G653" s="60" t="n">
        <v>9451795</v>
      </c>
      <c r="H653" s="60"/>
      <c r="I653" s="8" t="n">
        <v>256340</v>
      </c>
      <c r="J653" s="8" t="n">
        <v>92922</v>
      </c>
      <c r="K653" s="8" t="n">
        <v>101870</v>
      </c>
      <c r="L653" s="8" t="n">
        <v>99030</v>
      </c>
      <c r="M653" s="5"/>
      <c r="N653" s="5"/>
      <c r="O653" s="5"/>
      <c r="P653" s="5"/>
      <c r="Q653" s="5"/>
      <c r="R653" s="5"/>
      <c r="S653" s="5"/>
      <c r="T653" s="5"/>
      <c r="U653" s="5"/>
    </row>
    <row r="654">
      <c r="A654" s="56"/>
      <c r="B654" s="58" t="s">
        <v>2006</v>
      </c>
      <c r="C654" s="60"/>
      <c r="D654" s="60" t="n">
        <v>2634</v>
      </c>
      <c r="E654" s="60" t="n">
        <v>16503</v>
      </c>
      <c r="F654" s="60" t="n">
        <v>7562</v>
      </c>
      <c r="G654" s="60" t="n">
        <v>240593</v>
      </c>
      <c r="H654" s="60"/>
      <c r="I654" s="8" t="n">
        <v>2677</v>
      </c>
      <c r="J654" s="8" t="n">
        <v>1345</v>
      </c>
      <c r="K654" s="8" t="n">
        <v>1144</v>
      </c>
      <c r="L654" s="8" t="n">
        <v>204</v>
      </c>
      <c r="M654" s="5"/>
      <c r="N654" s="5"/>
      <c r="O654" s="5"/>
      <c r="P654" s="5"/>
      <c r="Q654" s="5"/>
      <c r="R654" s="5"/>
      <c r="S654" s="5"/>
      <c r="T654" s="5"/>
      <c r="U654" s="5"/>
    </row>
    <row r="655">
      <c r="A655" s="56"/>
      <c r="B655" s="58" t="s">
        <v>2007</v>
      </c>
      <c r="C655" s="60" t="n">
        <v>1625072</v>
      </c>
      <c r="D655" s="60" t="n">
        <v>3405</v>
      </c>
      <c r="E655" s="60" t="n">
        <v>15261</v>
      </c>
      <c r="F655" s="60" t="n">
        <v>19000</v>
      </c>
      <c r="G655" s="60" t="n">
        <v>24000</v>
      </c>
      <c r="H655" s="60"/>
      <c r="I655" s="8" t="n">
        <v>849686</v>
      </c>
      <c r="J655" s="8" t="n">
        <v>67328</v>
      </c>
      <c r="K655" s="8" t="n">
        <v>340000</v>
      </c>
      <c r="L655" s="8" t="n">
        <v>67436</v>
      </c>
      <c r="M655" s="5"/>
      <c r="N655" s="5"/>
      <c r="O655" s="5"/>
      <c r="P655" s="5"/>
      <c r="Q655" s="5"/>
      <c r="R655" s="5"/>
      <c r="S655" s="5"/>
      <c r="T655" s="5"/>
      <c r="U655" s="5"/>
    </row>
    <row r="656">
      <c r="A656" s="4" t="s">
        <v>2008</v>
      </c>
      <c r="B656" s="47" t="s">
        <v>2009</v>
      </c>
      <c r="C656" s="8" t="n">
        <v>55621</v>
      </c>
      <c r="D656" s="8" t="n">
        <v>5995</v>
      </c>
      <c r="E656" s="8" t="n">
        <v>215653</v>
      </c>
      <c r="F656" s="8" t="n">
        <v>75000</v>
      </c>
      <c r="G656" s="8" t="n">
        <v>877878</v>
      </c>
      <c r="H656" s="8"/>
      <c r="I656" s="8" t="n">
        <v>64822</v>
      </c>
      <c r="J656" s="8" t="n">
        <v>14560</v>
      </c>
      <c r="K656" s="8" t="n">
        <v>30744</v>
      </c>
      <c r="L656" s="8" t="n">
        <v>22380</v>
      </c>
      <c r="M656" s="5"/>
      <c r="N656" s="5"/>
      <c r="O656" s="5"/>
      <c r="P656" s="5"/>
      <c r="Q656" s="5"/>
      <c r="R656" s="5"/>
      <c r="S656" s="5"/>
      <c r="T656" s="5"/>
      <c r="U656" s="5"/>
    </row>
    <row r="657">
      <c r="A657" s="4"/>
      <c r="B657" s="47" t="s">
        <v>2010</v>
      </c>
      <c r="C657" s="8"/>
      <c r="D657" s="8" t="n">
        <v>191</v>
      </c>
      <c r="E657" s="8" t="n">
        <v>3167</v>
      </c>
      <c r="F657" s="8" t="n">
        <v>1290</v>
      </c>
      <c r="G657" s="8" t="n">
        <v>19328</v>
      </c>
      <c r="H657" s="8"/>
      <c r="I657" s="8" t="n">
        <v>526</v>
      </c>
      <c r="J657" s="8" t="n">
        <v>217</v>
      </c>
      <c r="K657" s="8" t="n">
        <v>195</v>
      </c>
      <c r="L657" s="8" t="n">
        <v>41</v>
      </c>
      <c r="M657" s="5"/>
      <c r="N657" s="5"/>
      <c r="O657" s="5"/>
      <c r="P657" s="5"/>
      <c r="Q657" s="5"/>
      <c r="R657" s="5"/>
      <c r="S657" s="5"/>
      <c r="T657" s="5"/>
      <c r="U657" s="5"/>
    </row>
    <row r="658">
      <c r="A658" s="4"/>
      <c r="B658" s="47" t="s">
        <v>2011</v>
      </c>
      <c r="C658" s="8" t="n">
        <v>1625146</v>
      </c>
      <c r="D658" s="8" t="n">
        <v>3398</v>
      </c>
      <c r="E658" s="8" t="n">
        <v>15035</v>
      </c>
      <c r="F658" s="8" t="n">
        <v>19000</v>
      </c>
      <c r="G658" s="8" t="n">
        <v>20000</v>
      </c>
      <c r="H658" s="8"/>
      <c r="I658" s="8" t="n">
        <v>849422</v>
      </c>
      <c r="J658" s="8" t="n">
        <v>67248</v>
      </c>
      <c r="K658" s="8" t="n">
        <v>340000</v>
      </c>
      <c r="L658" s="8" t="n">
        <v>66302</v>
      </c>
      <c r="M658" s="5"/>
      <c r="N658" s="5"/>
      <c r="O658" s="5"/>
      <c r="P658" s="5"/>
      <c r="Q658" s="5"/>
      <c r="R658" s="5"/>
      <c r="S658" s="5"/>
      <c r="T658" s="5"/>
      <c r="U658" s="5"/>
    </row>
    <row r="659">
      <c r="A659" s="4" t="s">
        <v>2012</v>
      </c>
      <c r="B659" s="47" t="s">
        <v>2013</v>
      </c>
      <c r="C659" s="8" t="n">
        <v>67501</v>
      </c>
      <c r="D659" s="8" t="n">
        <v>6724</v>
      </c>
      <c r="E659" s="8" t="n">
        <v>354155</v>
      </c>
      <c r="F659" s="8" t="n">
        <v>200000</v>
      </c>
      <c r="G659" s="8" t="n">
        <v>1521913</v>
      </c>
      <c r="H659" s="8"/>
      <c r="I659" s="8" t="n">
        <v>189240</v>
      </c>
      <c r="J659" s="8" t="n">
        <v>21887</v>
      </c>
      <c r="K659" s="8" t="n">
        <v>22258</v>
      </c>
      <c r="L659" s="8" t="n">
        <v>24706</v>
      </c>
      <c r="M659" s="5"/>
      <c r="N659" s="5"/>
      <c r="O659" s="5"/>
      <c r="P659" s="5"/>
      <c r="Q659" s="5"/>
      <c r="R659" s="5"/>
      <c r="S659" s="5"/>
      <c r="T659" s="5"/>
      <c r="U659" s="5"/>
    </row>
    <row r="660">
      <c r="A660" s="4"/>
      <c r="B660" s="47" t="s">
        <v>2014</v>
      </c>
      <c r="C660" s="8"/>
      <c r="D660" s="8" t="n">
        <v>789</v>
      </c>
      <c r="E660" s="8" t="n">
        <v>4943</v>
      </c>
      <c r="F660" s="8" t="n">
        <v>2517</v>
      </c>
      <c r="G660" s="8" t="n">
        <v>35590</v>
      </c>
      <c r="H660" s="8"/>
      <c r="I660" s="8" t="n">
        <v>1863</v>
      </c>
      <c r="J660" s="8" t="n">
        <v>440</v>
      </c>
      <c r="K660" s="8" t="n">
        <v>298</v>
      </c>
      <c r="L660" s="8" t="n">
        <v>81</v>
      </c>
      <c r="M660" s="5"/>
      <c r="N660" s="5"/>
      <c r="O660" s="5"/>
      <c r="P660" s="5"/>
      <c r="Q660" s="5"/>
      <c r="R660" s="5"/>
      <c r="S660" s="5"/>
      <c r="T660" s="5"/>
      <c r="U660" s="5"/>
    </row>
    <row r="661">
      <c r="A661" s="4"/>
      <c r="B661" s="47" t="s">
        <v>2015</v>
      </c>
      <c r="C661" s="8" t="n">
        <v>1625117</v>
      </c>
      <c r="D661" s="8" t="n">
        <v>3376</v>
      </c>
      <c r="E661" s="8" t="n">
        <v>14396</v>
      </c>
      <c r="F661" s="8" t="n">
        <v>18000</v>
      </c>
      <c r="G661" s="8" t="n">
        <v>16000</v>
      </c>
      <c r="H661" s="8"/>
      <c r="I661" s="8" t="n">
        <v>848558</v>
      </c>
      <c r="J661" s="8" t="n">
        <v>67164</v>
      </c>
      <c r="K661" s="8" t="n">
        <v>340000</v>
      </c>
      <c r="L661" s="8" t="n">
        <v>63250</v>
      </c>
      <c r="M661" s="5"/>
      <c r="N661" s="5"/>
      <c r="O661" s="5"/>
      <c r="P661" s="5"/>
      <c r="Q661" s="5"/>
      <c r="R661" s="5"/>
      <c r="S661" s="5"/>
      <c r="T661" s="5"/>
      <c r="U661" s="5"/>
    </row>
    <row r="662">
      <c r="A662" s="4" t="s">
        <v>2016</v>
      </c>
      <c r="B662" s="47" t="s">
        <v>2017</v>
      </c>
      <c r="C662" s="8" t="n">
        <v>45621</v>
      </c>
      <c r="D662" s="8" t="n">
        <v>13533</v>
      </c>
      <c r="E662" s="8" t="n">
        <v>289322</v>
      </c>
      <c r="F662" s="8" t="n">
        <v>167000</v>
      </c>
      <c r="G662" s="8" t="n">
        <v>2797428</v>
      </c>
      <c r="H662" s="8"/>
      <c r="I662" s="8" t="n">
        <v>53514</v>
      </c>
      <c r="J662" s="8" t="n">
        <v>20697</v>
      </c>
      <c r="K662" s="8" t="n">
        <v>22306</v>
      </c>
      <c r="L662" s="8" t="n">
        <v>20570</v>
      </c>
      <c r="M662" s="5"/>
      <c r="N662" s="5"/>
      <c r="O662" s="5"/>
      <c r="P662" s="5"/>
      <c r="Q662" s="5"/>
      <c r="R662" s="5"/>
      <c r="S662" s="5"/>
      <c r="T662" s="5"/>
      <c r="U662" s="5"/>
    </row>
    <row r="663">
      <c r="A663" s="4"/>
      <c r="B663" s="47" t="s">
        <v>2018</v>
      </c>
      <c r="C663" s="8"/>
      <c r="D663" s="8" t="n">
        <v>649</v>
      </c>
      <c r="E663" s="8" t="n">
        <v>4522</v>
      </c>
      <c r="F663" s="8" t="n">
        <v>1614</v>
      </c>
      <c r="G663" s="8" t="n">
        <v>64162</v>
      </c>
      <c r="H663" s="8"/>
      <c r="I663" s="8" t="n">
        <v>482</v>
      </c>
      <c r="J663" s="8" t="n">
        <v>180</v>
      </c>
      <c r="K663" s="8" t="n">
        <v>299</v>
      </c>
      <c r="L663" s="8" t="n">
        <v>37</v>
      </c>
      <c r="M663" s="5"/>
      <c r="N663" s="5"/>
      <c r="O663" s="5"/>
      <c r="P663" s="5"/>
      <c r="Q663" s="5"/>
      <c r="R663" s="5"/>
      <c r="S663" s="5"/>
      <c r="T663" s="5"/>
      <c r="U663" s="5"/>
    </row>
    <row r="664">
      <c r="A664" s="4"/>
      <c r="B664" s="47" t="s">
        <v>2019</v>
      </c>
      <c r="C664" s="8" t="n">
        <v>1624967</v>
      </c>
      <c r="D664" s="8" t="n">
        <v>3367</v>
      </c>
      <c r="E664" s="8" t="n">
        <v>13525</v>
      </c>
      <c r="F664" s="8" t="n">
        <v>17000</v>
      </c>
      <c r="G664" s="8" t="n">
        <v>11000</v>
      </c>
      <c r="H664" s="8"/>
      <c r="I664" s="8" t="n">
        <v>847240</v>
      </c>
      <c r="J664" s="8" t="n">
        <v>67018</v>
      </c>
      <c r="K664" s="8" t="n">
        <v>340000</v>
      </c>
      <c r="L664" s="8" t="n">
        <v>62113</v>
      </c>
      <c r="M664" s="5"/>
      <c r="N664" s="5"/>
      <c r="O664" s="5"/>
      <c r="P664" s="5"/>
      <c r="Q664" s="5"/>
      <c r="R664" s="5"/>
      <c r="S664" s="5"/>
      <c r="T664" s="5"/>
      <c r="U664" s="5"/>
    </row>
    <row r="665">
      <c r="A665" s="4" t="s">
        <v>2020</v>
      </c>
      <c r="B665" s="47" t="s">
        <v>2021</v>
      </c>
      <c r="C665" s="8" t="n">
        <v>29214</v>
      </c>
      <c r="D665" s="8" t="n">
        <v>23255</v>
      </c>
      <c r="E665" s="8" t="n">
        <v>249124</v>
      </c>
      <c r="F665" s="8" t="n">
        <v>116000</v>
      </c>
      <c r="G665" s="8" t="n">
        <v>2460702</v>
      </c>
      <c r="H665" s="8"/>
      <c r="I665" s="8" t="n">
        <v>66548</v>
      </c>
      <c r="J665" s="8" t="n">
        <v>27202</v>
      </c>
      <c r="K665" s="8" t="n">
        <v>16064</v>
      </c>
      <c r="L665" s="8" t="n">
        <v>22045</v>
      </c>
      <c r="M665" s="5"/>
      <c r="N665" s="5"/>
      <c r="O665" s="5"/>
      <c r="P665" s="5"/>
      <c r="Q665" s="5"/>
      <c r="R665" s="5"/>
      <c r="S665" s="5"/>
      <c r="T665" s="5"/>
      <c r="U665" s="5"/>
    </row>
    <row r="666">
      <c r="A666" s="4"/>
      <c r="B666" s="47" t="s">
        <v>2022</v>
      </c>
      <c r="C666" s="8"/>
      <c r="D666" s="8" t="n">
        <v>785</v>
      </c>
      <c r="E666" s="8" t="n">
        <v>2924</v>
      </c>
      <c r="F666" s="8" t="n">
        <v>1672</v>
      </c>
      <c r="G666" s="8" t="n">
        <v>59338</v>
      </c>
      <c r="H666" s="8"/>
      <c r="I666" s="8" t="n">
        <v>980</v>
      </c>
      <c r="J666" s="8" t="n">
        <v>335</v>
      </c>
      <c r="K666" s="8" t="n">
        <v>243</v>
      </c>
      <c r="L666" s="8" t="n">
        <v>36</v>
      </c>
      <c r="M666" s="5"/>
      <c r="N666" s="5"/>
      <c r="O666" s="5"/>
      <c r="P666" s="5"/>
      <c r="Q666" s="5"/>
      <c r="R666" s="5"/>
      <c r="S666" s="5"/>
      <c r="T666" s="5"/>
      <c r="U666" s="5"/>
    </row>
    <row r="667">
      <c r="A667" s="4"/>
      <c r="B667" s="47" t="s">
        <v>2023</v>
      </c>
      <c r="C667" s="8" t="n">
        <v>1624892</v>
      </c>
      <c r="D667" s="8" t="n">
        <v>3341</v>
      </c>
      <c r="E667" s="8" t="n">
        <v>12851</v>
      </c>
      <c r="F667" s="8" t="n">
        <v>16000</v>
      </c>
      <c r="G667" s="8" t="n">
        <v>7110</v>
      </c>
      <c r="H667" s="8"/>
      <c r="I667" s="8" t="n">
        <v>846440</v>
      </c>
      <c r="J667" s="8" t="n">
        <v>66620</v>
      </c>
      <c r="K667" s="8" t="n">
        <v>340000</v>
      </c>
      <c r="L667" s="8" t="n">
        <v>59905</v>
      </c>
      <c r="M667" s="5"/>
      <c r="N667" s="5"/>
      <c r="O667" s="5"/>
      <c r="P667" s="5"/>
      <c r="Q667" s="5"/>
      <c r="R667" s="5"/>
      <c r="S667" s="5"/>
      <c r="T667" s="5"/>
      <c r="U667" s="5"/>
    </row>
    <row r="668">
      <c r="A668" s="4" t="s">
        <v>2024</v>
      </c>
      <c r="B668" s="47" t="s">
        <v>2025</v>
      </c>
      <c r="C668" s="8" t="n">
        <v>28699</v>
      </c>
      <c r="D668" s="8" t="n">
        <v>52941</v>
      </c>
      <c r="E668" s="8" t="n">
        <v>128998</v>
      </c>
      <c r="F668" s="8" t="n">
        <v>65000</v>
      </c>
      <c r="G668" s="8" t="n">
        <v>207710</v>
      </c>
      <c r="H668" s="8"/>
      <c r="I668" s="8" t="n">
        <v>61448</v>
      </c>
      <c r="J668" s="8" t="n">
        <v>30547</v>
      </c>
      <c r="K668" s="8" t="n">
        <v>8633</v>
      </c>
      <c r="L668" s="8" t="n">
        <v>16509</v>
      </c>
      <c r="M668" s="5"/>
      <c r="N668" s="5"/>
      <c r="O668" s="5"/>
      <c r="P668" s="5"/>
      <c r="Q668" s="5"/>
      <c r="R668" s="5"/>
      <c r="S668" s="5"/>
      <c r="T668" s="5"/>
      <c r="U668" s="5"/>
    </row>
    <row r="669">
      <c r="A669" s="4"/>
      <c r="B669" s="47" t="s">
        <v>2026</v>
      </c>
      <c r="C669" s="8"/>
      <c r="D669" s="8" t="n">
        <v>1472</v>
      </c>
      <c r="E669" s="8" t="n">
        <v>3898</v>
      </c>
      <c r="F669" s="8" t="n">
        <v>734</v>
      </c>
      <c r="G669" s="8" t="n">
        <v>1705</v>
      </c>
      <c r="H669" s="8"/>
      <c r="I669" s="8" t="n">
        <v>724</v>
      </c>
      <c r="J669" s="8" t="n">
        <v>350</v>
      </c>
      <c r="K669" s="8" t="n">
        <v>308</v>
      </c>
      <c r="L669" s="8" t="n">
        <v>22</v>
      </c>
      <c r="M669" s="5"/>
      <c r="N669" s="5"/>
      <c r="O669" s="5"/>
      <c r="P669" s="5"/>
      <c r="Q669" s="5"/>
      <c r="R669" s="5"/>
      <c r="S669" s="5"/>
      <c r="T669" s="5"/>
      <c r="U669" s="5"/>
    </row>
    <row r="670">
      <c r="A670" s="4"/>
      <c r="B670" s="47" t="s">
        <v>2027</v>
      </c>
      <c r="C670" s="8" t="n">
        <v>1624729</v>
      </c>
      <c r="D670" s="8" t="n">
        <v>3304</v>
      </c>
      <c r="E670" s="8" t="n">
        <v>12355</v>
      </c>
      <c r="F670" s="8" t="n">
        <v>16000</v>
      </c>
      <c r="G670" s="8" t="n">
        <v>2394</v>
      </c>
      <c r="H670" s="8"/>
      <c r="I670" s="8" t="n">
        <v>845300</v>
      </c>
      <c r="J670" s="8" t="n">
        <v>66422</v>
      </c>
      <c r="K670" s="8" t="n">
        <v>339000</v>
      </c>
      <c r="L670" s="8" t="n">
        <v>56450</v>
      </c>
      <c r="M670" s="5"/>
      <c r="N670" s="5"/>
      <c r="O670" s="5"/>
      <c r="P670" s="5"/>
      <c r="Q670" s="5"/>
      <c r="R670" s="5"/>
      <c r="S670" s="5"/>
      <c r="T670" s="5"/>
      <c r="U670" s="5"/>
    </row>
    <row r="671">
      <c r="A671" s="56" t="s">
        <v>2028</v>
      </c>
      <c r="B671" s="58" t="s">
        <v>2029</v>
      </c>
      <c r="C671" s="60" t="n">
        <v>233506</v>
      </c>
      <c r="D671" s="60" t="n">
        <v>188323</v>
      </c>
      <c r="E671" s="60" t="n">
        <v>540845</v>
      </c>
      <c r="F671" s="60" t="n">
        <v>514000</v>
      </c>
      <c r="G671" s="60" t="n">
        <v>1781653</v>
      </c>
      <c r="H671" s="60"/>
      <c r="I671" s="60" t="n">
        <v>244590</v>
      </c>
      <c r="J671" s="60" t="n">
        <v>136468</v>
      </c>
      <c r="K671" s="60" t="n">
        <v>47432</v>
      </c>
      <c r="L671" s="60" t="n">
        <v>90624</v>
      </c>
      <c r="M671" s="5"/>
      <c r="N671" s="5"/>
      <c r="O671" s="5"/>
      <c r="P671" s="5"/>
      <c r="Q671" s="5"/>
      <c r="R671" s="5"/>
      <c r="S671" s="5"/>
      <c r="T671" s="5"/>
      <c r="U671" s="5"/>
    </row>
    <row r="672">
      <c r="A672" s="56"/>
      <c r="B672" s="58" t="s">
        <v>2030</v>
      </c>
      <c r="C672" s="60"/>
      <c r="D672" s="60" t="n">
        <v>6442</v>
      </c>
      <c r="E672" s="60" t="n">
        <v>25161</v>
      </c>
      <c r="F672" s="60" t="n">
        <v>6131</v>
      </c>
      <c r="G672" s="60" t="n">
        <v>2240</v>
      </c>
      <c r="H672" s="60"/>
      <c r="I672" s="60" t="n">
        <v>2506</v>
      </c>
      <c r="J672" s="60" t="n">
        <v>1486</v>
      </c>
      <c r="K672" s="60" t="n">
        <v>695</v>
      </c>
      <c r="L672" s="60" t="n">
        <v>69</v>
      </c>
      <c r="M672" s="5"/>
      <c r="N672" s="5"/>
      <c r="O672" s="5"/>
      <c r="P672" s="5"/>
      <c r="Q672" s="5"/>
      <c r="R672" s="5"/>
      <c r="S672" s="5"/>
      <c r="T672" s="5"/>
      <c r="U672" s="5"/>
    </row>
    <row r="673">
      <c r="A673" s="56"/>
      <c r="B673" s="58" t="s">
        <v>2031</v>
      </c>
      <c r="C673" s="60" t="n">
        <v>1624702</v>
      </c>
      <c r="D673" s="60" t="n">
        <v>3303</v>
      </c>
      <c r="E673" s="60" t="n">
        <v>12245</v>
      </c>
      <c r="F673" s="60" t="n">
        <v>16000</v>
      </c>
      <c r="G673" s="60" t="n">
        <v>2369</v>
      </c>
      <c r="H673" s="60"/>
      <c r="I673" s="60" t="n">
        <v>845063</v>
      </c>
      <c r="J673" s="60" t="n">
        <v>66389</v>
      </c>
      <c r="K673" s="60" t="n">
        <v>339000</v>
      </c>
      <c r="L673" s="60" t="n">
        <v>55749</v>
      </c>
      <c r="M673" s="5"/>
      <c r="N673" s="5"/>
      <c r="O673" s="5"/>
      <c r="P673" s="5"/>
      <c r="Q673" s="5"/>
      <c r="R673" s="5"/>
      <c r="S673" s="5"/>
      <c r="T673" s="5"/>
      <c r="U673" s="5"/>
    </row>
    <row r="674">
      <c r="A674" s="4" t="s">
        <v>2032</v>
      </c>
      <c r="B674" s="47" t="s">
        <v>2033</v>
      </c>
      <c r="C674" s="8" t="n">
        <v>31767</v>
      </c>
      <c r="D674" s="8" t="n">
        <v>6775</v>
      </c>
      <c r="E674" s="8" t="n">
        <v>165745</v>
      </c>
      <c r="F674" s="8" t="n">
        <v>276723</v>
      </c>
      <c r="G674" s="8" t="n">
        <v>112121</v>
      </c>
      <c r="H674" s="8"/>
      <c r="I674" s="8" t="n">
        <v>25002</v>
      </c>
      <c r="J674" s="8" t="n">
        <v>19445</v>
      </c>
      <c r="K674" s="8" t="n">
        <v>5000</v>
      </c>
      <c r="L674" s="8" t="n">
        <v>45926</v>
      </c>
      <c r="M674" s="5"/>
      <c r="N674" s="5"/>
      <c r="O674" s="5"/>
      <c r="P674" s="5"/>
      <c r="Q674" s="5"/>
      <c r="R674" s="5"/>
      <c r="S674" s="5"/>
      <c r="T674" s="5"/>
      <c r="U674" s="5"/>
    </row>
    <row r="675">
      <c r="A675" s="4"/>
      <c r="B675" s="47" t="s">
        <v>2034</v>
      </c>
      <c r="C675" s="8"/>
      <c r="D675" s="8" t="n">
        <v>68</v>
      </c>
      <c r="E675" s="8" t="n">
        <v>10359</v>
      </c>
      <c r="F675" s="8" t="n">
        <v>2968</v>
      </c>
      <c r="G675" s="8" t="n">
        <v>1488</v>
      </c>
      <c r="H675" s="8"/>
      <c r="I675" s="8" t="n">
        <v>328</v>
      </c>
      <c r="J675" s="8" t="n">
        <v>235</v>
      </c>
      <c r="K675" s="8" t="n">
        <v>112</v>
      </c>
      <c r="L675" s="8" t="n">
        <v>34</v>
      </c>
      <c r="M675" s="5"/>
      <c r="N675" s="5"/>
      <c r="O675" s="5"/>
      <c r="P675" s="5"/>
      <c r="Q675" s="5"/>
      <c r="R675" s="5"/>
      <c r="S675" s="5"/>
      <c r="T675" s="5"/>
      <c r="U675" s="5"/>
    </row>
    <row r="676">
      <c r="A676" s="4"/>
      <c r="B676" s="47" t="s">
        <v>2035</v>
      </c>
      <c r="C676" s="8" t="n">
        <v>1624525</v>
      </c>
      <c r="D676" s="8" t="n">
        <v>3254</v>
      </c>
      <c r="E676" s="8" t="n">
        <v>11845</v>
      </c>
      <c r="F676" s="8" t="n">
        <v>15631</v>
      </c>
      <c r="G676" s="8" t="n">
        <v>2052</v>
      </c>
      <c r="H676" s="8"/>
      <c r="I676" s="8" t="n">
        <v>843418</v>
      </c>
      <c r="J676" s="8" t="n">
        <v>66224</v>
      </c>
      <c r="K676" s="8" t="n">
        <v>339000</v>
      </c>
      <c r="L676" s="8" t="n">
        <v>53640</v>
      </c>
      <c r="M676" s="5"/>
      <c r="N676" s="5"/>
      <c r="O676" s="5"/>
      <c r="P676" s="5"/>
      <c r="Q676" s="5"/>
      <c r="R676" s="5"/>
      <c r="S676" s="5"/>
      <c r="T676" s="5"/>
      <c r="U676" s="5"/>
    </row>
    <row r="677">
      <c r="A677" s="4" t="s">
        <v>2036</v>
      </c>
      <c r="B677" s="47" t="s">
        <v>2037</v>
      </c>
      <c r="C677" s="8" t="n">
        <v>58923</v>
      </c>
      <c r="D677" s="8" t="n">
        <v>10214</v>
      </c>
      <c r="E677" s="8" t="n">
        <v>96515</v>
      </c>
      <c r="F677" s="8" t="n">
        <v>18050</v>
      </c>
      <c r="G677" s="8" t="n">
        <v>49482</v>
      </c>
      <c r="H677" s="8"/>
      <c r="I677" s="8" t="n">
        <v>32560</v>
      </c>
      <c r="J677" s="8" t="n">
        <v>25580</v>
      </c>
      <c r="K677" s="8" t="n">
        <v>9701</v>
      </c>
      <c r="L677" s="8"/>
      <c r="M677" s="5"/>
      <c r="N677" s="5"/>
      <c r="O677" s="5"/>
      <c r="P677" s="5"/>
      <c r="Q677" s="5"/>
      <c r="R677" s="5"/>
      <c r="S677" s="5"/>
      <c r="T677" s="5"/>
      <c r="U677" s="5"/>
    </row>
    <row r="678">
      <c r="A678" s="4"/>
      <c r="B678" s="47" t="s">
        <v>2038</v>
      </c>
      <c r="C678" s="8"/>
      <c r="D678" s="8" t="n">
        <v>374</v>
      </c>
      <c r="E678" s="8" t="n">
        <v>1931</v>
      </c>
      <c r="F678" s="8" t="n">
        <v>116</v>
      </c>
      <c r="G678" s="8" t="n">
        <v>175</v>
      </c>
      <c r="H678" s="8"/>
      <c r="I678" s="8" t="n">
        <v>524</v>
      </c>
      <c r="J678" s="8" t="n">
        <v>322</v>
      </c>
      <c r="K678" s="8" t="n">
        <v>137</v>
      </c>
      <c r="L678" s="8"/>
      <c r="M678" s="5"/>
      <c r="N678" s="5"/>
      <c r="O678" s="5"/>
      <c r="P678" s="5"/>
      <c r="Q678" s="5"/>
      <c r="R678" s="5"/>
      <c r="S678" s="5"/>
      <c r="T678" s="5"/>
      <c r="U678" s="5"/>
    </row>
    <row r="679">
      <c r="A679" s="4"/>
      <c r="B679" s="47" t="s">
        <v>2039</v>
      </c>
      <c r="C679" s="8" t="n">
        <v>1624536</v>
      </c>
      <c r="D679" s="8" t="n">
        <v>3241</v>
      </c>
      <c r="E679" s="8" t="n">
        <v>10986</v>
      </c>
      <c r="F679" s="8" t="n">
        <v>13620</v>
      </c>
      <c r="G679" s="8" t="n">
        <v>1076</v>
      </c>
      <c r="H679" s="8"/>
      <c r="I679" s="8" t="n">
        <v>842564</v>
      </c>
      <c r="J679" s="8" t="n">
        <v>66053</v>
      </c>
      <c r="K679" s="8" t="n">
        <v>339000</v>
      </c>
      <c r="L679" s="8"/>
      <c r="M679" s="5"/>
      <c r="N679" s="5"/>
      <c r="O679" s="5"/>
      <c r="P679" s="5"/>
      <c r="Q679" s="5"/>
      <c r="R679" s="5"/>
      <c r="S679" s="5"/>
      <c r="T679" s="5"/>
      <c r="U679" s="5"/>
    </row>
    <row r="680">
      <c r="A680" s="4" t="s">
        <v>2040</v>
      </c>
      <c r="B680" s="47" t="s">
        <v>2041</v>
      </c>
      <c r="C680" s="8" t="n">
        <v>37943</v>
      </c>
      <c r="D680" s="8" t="n">
        <v>122327</v>
      </c>
      <c r="E680" s="8" t="n">
        <v>112446</v>
      </c>
      <c r="F680" s="8" t="n">
        <v>147646</v>
      </c>
      <c r="G680" s="8" t="n">
        <v>41036</v>
      </c>
      <c r="H680" s="8"/>
      <c r="I680" s="8" t="n">
        <v>59320</v>
      </c>
      <c r="J680" s="8" t="n">
        <v>30397</v>
      </c>
      <c r="K680" s="8" t="n">
        <v>12928</v>
      </c>
      <c r="L680" s="8"/>
      <c r="M680" s="5"/>
      <c r="N680" s="5"/>
      <c r="O680" s="5"/>
      <c r="P680" s="5"/>
      <c r="Q680" s="5"/>
      <c r="R680" s="5"/>
      <c r="S680" s="5"/>
      <c r="T680" s="5"/>
      <c r="U680" s="5"/>
    </row>
    <row r="681">
      <c r="A681" s="4"/>
      <c r="B681" s="47" t="s">
        <v>2042</v>
      </c>
      <c r="C681" s="8"/>
      <c r="D681" s="8" t="n">
        <v>3199</v>
      </c>
      <c r="E681" s="8" t="n">
        <v>7746</v>
      </c>
      <c r="F681" s="8" t="n">
        <v>1621</v>
      </c>
      <c r="G681" s="8" t="n">
        <v>258</v>
      </c>
      <c r="H681" s="8"/>
      <c r="I681" s="8" t="n">
        <v>404</v>
      </c>
      <c r="J681" s="8" t="n">
        <v>268</v>
      </c>
      <c r="K681" s="8" t="n">
        <v>69</v>
      </c>
      <c r="L681" s="8"/>
      <c r="M681" s="5"/>
      <c r="N681" s="5"/>
      <c r="O681" s="5"/>
      <c r="P681" s="5"/>
      <c r="Q681" s="5"/>
      <c r="R681" s="5"/>
      <c r="S681" s="5"/>
      <c r="T681" s="5"/>
      <c r="U681" s="5"/>
    </row>
    <row r="682">
      <c r="A682" s="4"/>
      <c r="B682" s="47" t="s">
        <v>2043</v>
      </c>
      <c r="C682" s="8" t="n">
        <v>1624360</v>
      </c>
      <c r="D682" s="8" t="n">
        <v>3214</v>
      </c>
      <c r="E682" s="8" t="n">
        <v>10596</v>
      </c>
      <c r="F682" s="8" t="n">
        <v>13564</v>
      </c>
      <c r="G682" s="8" t="n">
        <v>1049</v>
      </c>
      <c r="H682" s="8"/>
      <c r="I682" s="8" t="n">
        <v>841863</v>
      </c>
      <c r="J682" s="8" t="n">
        <v>65932</v>
      </c>
      <c r="K682" s="8" t="n">
        <v>339000</v>
      </c>
      <c r="L682" s="8"/>
      <c r="M682" s="5"/>
      <c r="N682" s="5"/>
      <c r="O682" s="5"/>
      <c r="P682" s="5"/>
      <c r="Q682" s="5"/>
      <c r="R682" s="5"/>
      <c r="S682" s="5"/>
      <c r="T682" s="5"/>
      <c r="U682" s="5"/>
    </row>
    <row r="683">
      <c r="A683" s="4" t="s">
        <v>2044</v>
      </c>
      <c r="B683" s="47" t="s">
        <v>2045</v>
      </c>
      <c r="C683" s="8" t="n">
        <v>144303</v>
      </c>
      <c r="D683" s="8" t="n">
        <v>50007</v>
      </c>
      <c r="E683" s="8" t="n">
        <v>103114</v>
      </c>
      <c r="F683" s="8" t="n">
        <v>64532</v>
      </c>
      <c r="G683" s="8" t="n">
        <v>19178</v>
      </c>
      <c r="H683" s="8"/>
      <c r="I683" s="8" t="n">
        <v>91764</v>
      </c>
      <c r="J683" s="8" t="n">
        <v>62018</v>
      </c>
      <c r="K683" s="8" t="n">
        <v>25972</v>
      </c>
      <c r="L683" s="8"/>
      <c r="M683" s="5"/>
      <c r="N683" s="5"/>
      <c r="O683" s="5"/>
      <c r="P683" s="5"/>
      <c r="Q683" s="5"/>
      <c r="R683" s="5"/>
      <c r="S683" s="5"/>
      <c r="T683" s="5"/>
      <c r="U683" s="5"/>
    </row>
    <row r="684">
      <c r="A684" s="4"/>
      <c r="B684" s="47" t="s">
        <v>2046</v>
      </c>
      <c r="C684" s="8"/>
      <c r="D684" s="8" t="n">
        <v>1546</v>
      </c>
      <c r="E684" s="8" t="n">
        <v>3160</v>
      </c>
      <c r="F684" s="8" t="n">
        <v>197</v>
      </c>
      <c r="G684" s="8" t="n">
        <v>89</v>
      </c>
      <c r="H684" s="8"/>
      <c r="I684" s="8" t="n">
        <v>738</v>
      </c>
      <c r="J684" s="8" t="n">
        <v>822</v>
      </c>
      <c r="K684" s="8" t="n">
        <v>203</v>
      </c>
      <c r="L684" s="8"/>
      <c r="M684" s="5"/>
      <c r="N684" s="5"/>
      <c r="O684" s="5"/>
      <c r="P684" s="5"/>
      <c r="Q684" s="5"/>
      <c r="R684" s="5"/>
      <c r="S684" s="5"/>
      <c r="T684" s="5"/>
      <c r="U684" s="5"/>
    </row>
    <row r="685">
      <c r="A685" s="4"/>
      <c r="B685" s="47" t="s">
        <v>2047</v>
      </c>
      <c r="C685" s="8" t="n">
        <v>1624132</v>
      </c>
      <c r="D685" s="8" t="n">
        <v>3091</v>
      </c>
      <c r="E685" s="8" t="n">
        <v>10180</v>
      </c>
      <c r="F685" s="8" t="n">
        <v>13000</v>
      </c>
      <c r="G685" s="8" t="n">
        <v>1002</v>
      </c>
      <c r="H685" s="8"/>
      <c r="I685" s="8" t="n">
        <v>841284</v>
      </c>
      <c r="J685" s="8" t="n">
        <v>65860</v>
      </c>
      <c r="K685" s="8" t="n">
        <v>339000</v>
      </c>
      <c r="L685" s="8"/>
      <c r="M685" s="5"/>
      <c r="N685" s="5"/>
      <c r="O685" s="5"/>
      <c r="P685" s="5"/>
      <c r="Q685" s="5"/>
      <c r="R685" s="5"/>
      <c r="S685" s="5"/>
      <c r="T685" s="5"/>
      <c r="U685" s="5"/>
    </row>
    <row r="686">
      <c r="A686" s="56" t="s">
        <v>2048</v>
      </c>
      <c r="B686" s="58" t="s">
        <v>2049</v>
      </c>
      <c r="C686" s="60" t="n">
        <v>957474</v>
      </c>
      <c r="D686" s="60" t="n">
        <v>257960</v>
      </c>
      <c r="E686" s="60" t="n">
        <v>256955</v>
      </c>
      <c r="F686" s="60" t="n">
        <v>398805</v>
      </c>
      <c r="G686" s="60" t="n">
        <v>68220</v>
      </c>
      <c r="H686" s="60"/>
      <c r="I686" s="60" t="n">
        <v>194240</v>
      </c>
      <c r="J686" s="60" t="n">
        <v>545970</v>
      </c>
      <c r="K686" s="60" t="n">
        <v>334035</v>
      </c>
      <c r="L686" s="60"/>
      <c r="M686" s="5"/>
      <c r="N686" s="5"/>
      <c r="O686" s="5"/>
      <c r="P686" s="5"/>
      <c r="Q686" s="5"/>
      <c r="R686" s="5"/>
      <c r="S686" s="5"/>
      <c r="T686" s="5"/>
      <c r="U686" s="5"/>
    </row>
    <row r="687">
      <c r="A687" s="56"/>
      <c r="B687" s="58" t="s">
        <v>2050</v>
      </c>
      <c r="C687" s="60"/>
      <c r="D687" s="60" t="n">
        <v>7532</v>
      </c>
      <c r="E687" s="60" t="n">
        <v>8105</v>
      </c>
      <c r="F687" s="60" t="n">
        <v>2730</v>
      </c>
      <c r="G687" s="60" t="n">
        <v>453</v>
      </c>
      <c r="H687" s="60"/>
      <c r="I687" s="60" t="n">
        <v>1659</v>
      </c>
      <c r="J687" s="60" t="n">
        <v>4062</v>
      </c>
      <c r="K687" s="60" t="n">
        <v>2424</v>
      </c>
      <c r="L687" s="60"/>
      <c r="M687" s="5"/>
      <c r="N687" s="5"/>
      <c r="O687" s="5"/>
      <c r="P687" s="5"/>
      <c r="Q687" s="5"/>
      <c r="R687" s="5"/>
      <c r="S687" s="5"/>
      <c r="T687" s="5"/>
      <c r="U687" s="5"/>
    </row>
    <row r="688">
      <c r="A688" s="56"/>
      <c r="B688" s="58" t="s">
        <v>2051</v>
      </c>
      <c r="C688" s="60" t="n">
        <v>1624118</v>
      </c>
      <c r="D688" s="60" t="n">
        <v>2986</v>
      </c>
      <c r="E688" s="60" t="n">
        <v>9822</v>
      </c>
      <c r="F688" s="60" t="n">
        <v>13000</v>
      </c>
      <c r="G688" s="60" t="n">
        <v>989</v>
      </c>
      <c r="H688" s="60"/>
      <c r="I688" s="60" t="n">
        <v>840667</v>
      </c>
      <c r="J688" s="60" t="n">
        <v>65725</v>
      </c>
      <c r="K688" s="60" t="n">
        <v>338410</v>
      </c>
      <c r="L688" s="60"/>
      <c r="M688" s="5"/>
      <c r="N688" s="5"/>
      <c r="O688" s="5"/>
      <c r="P688" s="5"/>
      <c r="Q688" s="5"/>
      <c r="R688" s="5"/>
      <c r="S688" s="5"/>
      <c r="T688" s="5"/>
      <c r="U688" s="5"/>
    </row>
    <row r="689">
      <c r="A689" s="4" t="s">
        <v>2052</v>
      </c>
      <c r="B689" s="47" t="s">
        <v>2053</v>
      </c>
      <c r="C689" s="8" t="n">
        <v>45615</v>
      </c>
      <c r="D689" s="8" t="n">
        <v>73236</v>
      </c>
      <c r="E689" s="8" t="n">
        <v>73482</v>
      </c>
      <c r="F689" s="8" t="n">
        <v>111683</v>
      </c>
      <c r="G689" s="8" t="n">
        <v>8007</v>
      </c>
      <c r="H689" s="8"/>
      <c r="I689" s="8" t="n">
        <v>53496</v>
      </c>
      <c r="J689" s="8" t="n">
        <v>47159</v>
      </c>
      <c r="K689" s="8" t="n">
        <v>13663</v>
      </c>
      <c r="L689" s="61"/>
      <c r="M689" s="5"/>
      <c r="N689" s="5"/>
      <c r="O689" s="5"/>
      <c r="P689" s="5"/>
      <c r="Q689" s="5"/>
      <c r="R689" s="5"/>
      <c r="S689" s="5"/>
      <c r="T689" s="5"/>
      <c r="U689" s="5"/>
    </row>
    <row r="690">
      <c r="A690" s="4"/>
      <c r="B690" s="47" t="s">
        <v>2054</v>
      </c>
      <c r="C690" s="8"/>
      <c r="D690" s="8" t="n">
        <v>2764</v>
      </c>
      <c r="E690" s="8" t="n">
        <v>1726</v>
      </c>
      <c r="F690" s="8" t="n">
        <v>165</v>
      </c>
      <c r="G690" s="8" t="n">
        <v>71</v>
      </c>
      <c r="H690" s="8"/>
      <c r="I690" s="8" t="n">
        <v>454</v>
      </c>
      <c r="J690" s="8" t="n">
        <v>602</v>
      </c>
      <c r="K690" s="8" t="n">
        <v>112</v>
      </c>
      <c r="L690" s="8"/>
      <c r="M690" s="5"/>
      <c r="N690" s="5"/>
      <c r="O690" s="5"/>
      <c r="P690" s="5"/>
      <c r="Q690" s="5"/>
      <c r="R690" s="5"/>
      <c r="S690" s="5"/>
      <c r="T690" s="5"/>
      <c r="U690" s="5"/>
    </row>
    <row r="691">
      <c r="A691" s="4"/>
      <c r="B691" s="47" t="s">
        <v>2055</v>
      </c>
      <c r="C691" s="8" t="n">
        <v>1623406</v>
      </c>
      <c r="D691" s="8" t="n">
        <v>2936</v>
      </c>
      <c r="E691" s="8" t="n">
        <v>9690</v>
      </c>
      <c r="F691" s="8" t="n">
        <v>12000</v>
      </c>
      <c r="G691" s="8" t="n">
        <v>988</v>
      </c>
      <c r="H691" s="8"/>
      <c r="I691" s="8" t="n">
        <v>840544</v>
      </c>
      <c r="J691" s="8" t="n">
        <v>65640</v>
      </c>
      <c r="K691" s="8" t="n">
        <v>338333</v>
      </c>
      <c r="L691" s="8"/>
      <c r="M691" s="5"/>
      <c r="N691" s="5"/>
      <c r="O691" s="5"/>
      <c r="P691" s="5"/>
      <c r="Q691" s="5"/>
      <c r="R691" s="5"/>
      <c r="S691" s="5"/>
      <c r="T691" s="5"/>
      <c r="U691" s="5"/>
    </row>
    <row r="692">
      <c r="A692" s="4" t="s">
        <v>2056</v>
      </c>
      <c r="B692" s="47" t="s">
        <v>2057</v>
      </c>
      <c r="C692" s="8" t="n">
        <v>105712</v>
      </c>
      <c r="D692" s="8" t="n">
        <v>87101</v>
      </c>
      <c r="E692" s="8" t="n">
        <v>65696</v>
      </c>
      <c r="F692" s="8" t="n">
        <v>12091</v>
      </c>
      <c r="G692" s="8" t="n">
        <v>36066</v>
      </c>
      <c r="H692" s="8"/>
      <c r="I692" s="8" t="n">
        <v>44068</v>
      </c>
      <c r="J692" s="8" t="n">
        <v>30245</v>
      </c>
      <c r="K692" s="8" t="n">
        <v>10025</v>
      </c>
      <c r="L692" s="8"/>
      <c r="M692" s="5"/>
      <c r="N692" s="5"/>
      <c r="O692" s="5"/>
      <c r="P692" s="5"/>
      <c r="Q692" s="5"/>
      <c r="R692" s="5"/>
      <c r="S692" s="5"/>
      <c r="T692" s="5"/>
      <c r="U692" s="5"/>
    </row>
    <row r="693">
      <c r="A693" s="4"/>
      <c r="B693" s="47" t="s">
        <v>2058</v>
      </c>
      <c r="C693" s="8"/>
      <c r="D693" s="8" t="n">
        <v>2098</v>
      </c>
      <c r="E693" s="8" t="n">
        <v>2293</v>
      </c>
      <c r="F693" s="8" t="n">
        <v>108</v>
      </c>
      <c r="G693" s="8" t="n">
        <v>212</v>
      </c>
      <c r="H693" s="8"/>
      <c r="I693" s="8" t="n">
        <v>378</v>
      </c>
      <c r="J693" s="8" t="n">
        <v>496</v>
      </c>
      <c r="K693" s="8" t="n">
        <v>97</v>
      </c>
      <c r="L693" s="8"/>
      <c r="M693" s="5"/>
      <c r="N693" s="5"/>
      <c r="O693" s="5"/>
      <c r="P693" s="5"/>
      <c r="Q693" s="5"/>
      <c r="R693" s="5"/>
      <c r="S693" s="5"/>
      <c r="T693" s="5"/>
      <c r="U693" s="5"/>
    </row>
    <row r="694">
      <c r="A694" s="4"/>
      <c r="B694" s="47" t="s">
        <v>2059</v>
      </c>
      <c r="C694" s="8" t="n">
        <v>1623089</v>
      </c>
      <c r="D694" s="8" t="n">
        <v>2649</v>
      </c>
      <c r="E694" s="8" t="n">
        <v>9354</v>
      </c>
      <c r="F694" s="8" t="n">
        <v>9141</v>
      </c>
      <c r="G694" s="8" t="n">
        <v>969</v>
      </c>
      <c r="H694" s="8"/>
      <c r="I694" s="8" t="n">
        <v>839899</v>
      </c>
      <c r="J694" s="8" t="n">
        <v>65479</v>
      </c>
      <c r="K694" s="8" t="n">
        <v>338000</v>
      </c>
      <c r="L694" s="8"/>
      <c r="M694" s="5"/>
      <c r="N694" s="5"/>
      <c r="O694" s="5"/>
      <c r="P694" s="5"/>
      <c r="Q694" s="5"/>
      <c r="R694" s="5"/>
      <c r="S694" s="5"/>
      <c r="T694" s="5"/>
      <c r="U694" s="5"/>
    </row>
    <row r="695">
      <c r="A695" s="4" t="s">
        <v>2060</v>
      </c>
      <c r="B695" s="47" t="s">
        <v>2061</v>
      </c>
      <c r="C695" s="8" t="n">
        <v>5511</v>
      </c>
      <c r="D695" s="8" t="n">
        <v>15115</v>
      </c>
      <c r="E695" s="8" t="n">
        <v>41996</v>
      </c>
      <c r="F695" s="8" t="n">
        <v>26168</v>
      </c>
      <c r="G695" s="8" t="n">
        <v>9123</v>
      </c>
      <c r="H695" s="8"/>
      <c r="I695" s="8" t="n">
        <v>37037</v>
      </c>
      <c r="J695" s="8" t="n">
        <v>15814</v>
      </c>
      <c r="K695" s="8" t="n">
        <v>9817</v>
      </c>
      <c r="L695" s="8"/>
      <c r="M695" s="5"/>
      <c r="N695" s="5"/>
      <c r="O695" s="5"/>
      <c r="P695" s="5"/>
      <c r="Q695" s="5"/>
      <c r="R695" s="5"/>
      <c r="S695" s="5"/>
      <c r="T695" s="5"/>
      <c r="U695" s="5"/>
    </row>
    <row r="696">
      <c r="A696" s="4"/>
      <c r="B696" s="47" t="s">
        <v>2062</v>
      </c>
      <c r="C696" s="8"/>
      <c r="D696" s="8" t="n">
        <v>483</v>
      </c>
      <c r="E696" s="8" t="n">
        <v>1854</v>
      </c>
      <c r="F696" s="8" t="n">
        <v>203</v>
      </c>
      <c r="G696" s="8" t="n">
        <v>140</v>
      </c>
      <c r="H696" s="8"/>
      <c r="I696" s="8" t="n">
        <v>284</v>
      </c>
      <c r="J696" s="8" t="n">
        <v>155</v>
      </c>
      <c r="K696" s="8" t="n">
        <v>154</v>
      </c>
      <c r="L696" s="8"/>
      <c r="M696" s="5"/>
      <c r="N696" s="5"/>
      <c r="O696" s="5"/>
      <c r="P696" s="5"/>
      <c r="Q696" s="5"/>
      <c r="R696" s="5"/>
      <c r="S696" s="5"/>
      <c r="T696" s="5"/>
      <c r="U696" s="5"/>
    </row>
    <row r="697">
      <c r="A697" s="4"/>
      <c r="B697" s="47" t="s">
        <v>2063</v>
      </c>
      <c r="C697" s="8" t="n">
        <v>1622655</v>
      </c>
      <c r="D697" s="8" t="n">
        <v>2488</v>
      </c>
      <c r="E697" s="8" t="n">
        <v>9015</v>
      </c>
      <c r="F697" s="8" t="n">
        <v>9099</v>
      </c>
      <c r="G697" s="8" t="n">
        <v>944</v>
      </c>
      <c r="H697" s="8"/>
      <c r="I697" s="8" t="n">
        <v>839203</v>
      </c>
      <c r="J697" s="8" t="n">
        <v>65364</v>
      </c>
      <c r="K697" s="8" t="n">
        <v>338000</v>
      </c>
      <c r="L697" s="8"/>
      <c r="M697" s="5"/>
      <c r="N697" s="5"/>
      <c r="O697" s="5"/>
      <c r="P697" s="5"/>
      <c r="Q697" s="5"/>
      <c r="R697" s="5"/>
      <c r="S697" s="5"/>
      <c r="T697" s="5"/>
      <c r="U697" s="5"/>
    </row>
    <row r="698">
      <c r="A698" s="4" t="s">
        <v>2064</v>
      </c>
      <c r="B698" s="47" t="s">
        <v>2065</v>
      </c>
      <c r="C698" s="8" t="n">
        <v>144674</v>
      </c>
      <c r="D698" s="8" t="n">
        <v>76008</v>
      </c>
      <c r="E698" s="8" t="n">
        <v>48781</v>
      </c>
      <c r="F698" s="8" t="n">
        <v>215187</v>
      </c>
      <c r="G698" s="8" t="n">
        <v>12332</v>
      </c>
      <c r="H698" s="8"/>
      <c r="I698" s="8" t="n">
        <v>34692</v>
      </c>
      <c r="J698" s="8" t="n">
        <v>416790</v>
      </c>
      <c r="K698" s="8" t="n">
        <v>272576</v>
      </c>
      <c r="L698" s="8"/>
      <c r="M698" s="5"/>
      <c r="N698" s="5"/>
      <c r="O698" s="5"/>
      <c r="P698" s="5"/>
      <c r="Q698" s="5"/>
      <c r="R698" s="5"/>
      <c r="S698" s="5"/>
      <c r="T698" s="5"/>
      <c r="U698" s="5"/>
    </row>
    <row r="699">
      <c r="A699" s="4"/>
      <c r="B699" s="47" t="s">
        <v>2066</v>
      </c>
      <c r="C699" s="8"/>
      <c r="D699" s="8" t="n">
        <v>1887</v>
      </c>
      <c r="E699" s="8" t="n">
        <v>1732</v>
      </c>
      <c r="F699" s="8" t="n">
        <v>1954</v>
      </c>
      <c r="G699" s="8" t="n">
        <v>60</v>
      </c>
      <c r="H699" s="8"/>
      <c r="I699" s="8" t="n">
        <v>353</v>
      </c>
      <c r="J699" s="8" t="n">
        <v>2260</v>
      </c>
      <c r="K699" s="8" t="n">
        <v>1852</v>
      </c>
      <c r="L699" s="41"/>
      <c r="M699" s="5"/>
      <c r="N699" s="5"/>
      <c r="O699" s="5"/>
      <c r="P699" s="5"/>
      <c r="Q699" s="5"/>
      <c r="R699" s="5"/>
      <c r="S699" s="5"/>
      <c r="T699" s="5"/>
      <c r="U699" s="5"/>
    </row>
    <row r="700">
      <c r="A700" s="4"/>
      <c r="B700" s="47" t="s">
        <v>2067</v>
      </c>
      <c r="C700" s="8" t="n">
        <v>1622210</v>
      </c>
      <c r="D700" s="8" t="n">
        <v>2425</v>
      </c>
      <c r="E700" s="8" t="n">
        <v>8650</v>
      </c>
      <c r="F700" s="8" t="n">
        <v>9014</v>
      </c>
      <c r="G700" s="8" t="n">
        <v>932</v>
      </c>
      <c r="H700" s="8"/>
      <c r="I700" s="8" t="n">
        <v>838550</v>
      </c>
      <c r="J700" s="8" t="n">
        <v>65300</v>
      </c>
      <c r="K700" s="8" t="n">
        <v>338000</v>
      </c>
      <c r="L700" s="41"/>
      <c r="M700" s="5"/>
      <c r="N700" s="5"/>
      <c r="O700" s="5"/>
      <c r="P700" s="5"/>
      <c r="Q700" s="5"/>
      <c r="R700" s="5"/>
      <c r="S700" s="5"/>
      <c r="T700" s="5"/>
      <c r="U700" s="5"/>
    </row>
    <row r="701">
      <c r="A701" s="4" t="s">
        <v>2068</v>
      </c>
      <c r="B701" s="47" t="s">
        <v>2069</v>
      </c>
      <c r="C701" s="8" t="n">
        <v>35734</v>
      </c>
      <c r="D701" s="8" t="n">
        <v>146941</v>
      </c>
      <c r="E701" s="8" t="n">
        <v>84332</v>
      </c>
      <c r="F701" s="8" t="n">
        <v>121576</v>
      </c>
      <c r="G701" s="8" t="n">
        <v>17381</v>
      </c>
      <c r="H701" s="8"/>
      <c r="I701" s="8" t="n">
        <v>42389</v>
      </c>
      <c r="J701" s="8" t="n">
        <v>28367</v>
      </c>
      <c r="K701" s="8" t="n">
        <v>51155</v>
      </c>
      <c r="L701" s="8"/>
      <c r="M701" s="2"/>
      <c r="N701" s="2"/>
      <c r="O701" s="2"/>
      <c r="P701" s="2"/>
      <c r="Q701" s="2"/>
      <c r="R701" s="2"/>
      <c r="S701" s="2"/>
      <c r="T701" s="2"/>
      <c r="U701" s="2"/>
    </row>
    <row r="702" ht="12.75" customHeight="1">
      <c r="A702" s="4"/>
      <c r="B702" s="47" t="s">
        <v>2070</v>
      </c>
      <c r="C702" s="41"/>
      <c r="D702" s="8" t="n">
        <v>963</v>
      </c>
      <c r="E702" s="8" t="n">
        <v>4906</v>
      </c>
      <c r="F702" s="8" t="n">
        <v>398</v>
      </c>
      <c r="G702" s="8" t="n">
        <v>50</v>
      </c>
      <c r="H702" s="8"/>
      <c r="I702" s="8" t="n">
        <v>377</v>
      </c>
      <c r="J702" s="8" t="n">
        <v>283</v>
      </c>
      <c r="K702" s="8" t="n">
        <v>443</v>
      </c>
      <c r="L702" s="41"/>
      <c r="M702" s="5"/>
      <c r="N702" s="5"/>
      <c r="O702" s="5"/>
      <c r="P702" s="5"/>
      <c r="Q702" s="5"/>
      <c r="R702" s="5"/>
      <c r="S702" s="5"/>
      <c r="T702" s="5"/>
      <c r="U702" s="5"/>
    </row>
    <row r="703" ht="12.75" customHeight="1">
      <c r="A703" s="4"/>
      <c r="B703" s="47" t="s">
        <v>2071</v>
      </c>
      <c r="C703" s="8" t="n">
        <v>1622037</v>
      </c>
      <c r="D703" s="8" t="n">
        <v>2370</v>
      </c>
      <c r="E703" s="8" t="n">
        <v>8391</v>
      </c>
      <c r="F703" s="8" t="n">
        <v>8122</v>
      </c>
      <c r="G703" s="8" t="n">
        <v>917</v>
      </c>
      <c r="H703" s="8"/>
      <c r="I703" s="8" t="n">
        <v>837801</v>
      </c>
      <c r="J703" s="8" t="n">
        <v>64703</v>
      </c>
      <c r="K703" s="8" t="n">
        <v>337000</v>
      </c>
      <c r="L703" s="41"/>
      <c r="M703" s="5"/>
      <c r="N703" s="5"/>
      <c r="O703" s="5"/>
      <c r="P703" s="5"/>
      <c r="Q703" s="5"/>
      <c r="R703" s="5"/>
      <c r="S703" s="5"/>
      <c r="T703" s="5"/>
      <c r="U703" s="5"/>
    </row>
    <row r="704" ht="12.75" customHeight="1">
      <c r="A704" s="56" t="s">
        <v>2072</v>
      </c>
      <c r="B704" s="58" t="s">
        <v>2073</v>
      </c>
      <c r="C704" s="62" t="s">
        <v>2074</v>
      </c>
      <c r="D704" s="62" t="s">
        <v>2075</v>
      </c>
      <c r="E704" s="62" t="s">
        <v>2076</v>
      </c>
      <c r="F704" s="62" t="s">
        <v>2077</v>
      </c>
      <c r="G704" s="62" t="s">
        <v>2078</v>
      </c>
      <c r="H704" s="62"/>
      <c r="I704" s="62" t="n">
        <v>169978</v>
      </c>
      <c r="J704" s="62" t="n">
        <v>60522</v>
      </c>
      <c r="K704" s="62" t="n">
        <v>126932</v>
      </c>
      <c r="L704" s="60"/>
      <c r="M704" s="5"/>
      <c r="N704" s="5"/>
      <c r="O704" s="5"/>
      <c r="P704" s="5"/>
      <c r="Q704" s="5"/>
      <c r="R704" s="5"/>
      <c r="S704" s="5"/>
      <c r="T704" s="5"/>
      <c r="U704" s="5"/>
    </row>
    <row r="705" ht="12.75" customHeight="1">
      <c r="A705" s="56"/>
      <c r="B705" s="58" t="s">
        <v>2079</v>
      </c>
      <c r="C705" s="62" t="n">
        <v>620</v>
      </c>
      <c r="D705" s="62" t="n">
        <v>1659</v>
      </c>
      <c r="E705" s="62" t="n">
        <v>1900</v>
      </c>
      <c r="F705" s="62" t="n">
        <v>5718</v>
      </c>
      <c r="G705" s="62" t="s">
        <v>2080</v>
      </c>
      <c r="H705" s="62"/>
      <c r="I705" s="62" t="n">
        <v>2664</v>
      </c>
      <c r="J705" s="62" t="n">
        <v>825</v>
      </c>
      <c r="K705" s="62" t="n">
        <v>1000</v>
      </c>
      <c r="L705" s="63"/>
      <c r="M705" s="5"/>
      <c r="N705" s="5"/>
      <c r="O705" s="5"/>
      <c r="P705" s="5"/>
      <c r="Q705" s="5"/>
      <c r="R705" s="5"/>
      <c r="S705" s="5"/>
      <c r="T705" s="5"/>
      <c r="U705" s="5"/>
    </row>
    <row r="706" ht="12.75" customHeight="1">
      <c r="A706" s="56"/>
      <c r="B706" s="58" t="s">
        <v>2081</v>
      </c>
      <c r="C706" s="62" t="n">
        <v>1621984</v>
      </c>
      <c r="D706" s="62" t="n">
        <v>2359</v>
      </c>
      <c r="E706" s="62" t="n">
        <v>8361</v>
      </c>
      <c r="F706" s="62" t="n">
        <v>7828</v>
      </c>
      <c r="G706" s="62" t="n">
        <v>916</v>
      </c>
      <c r="H706" s="62"/>
      <c r="I706" s="62" t="n">
        <v>837722</v>
      </c>
      <c r="J706" s="62" t="n">
        <v>64636</v>
      </c>
      <c r="K706" s="62" t="n">
        <v>337000</v>
      </c>
      <c r="L706" s="63"/>
      <c r="M706" s="5"/>
      <c r="N706" s="5"/>
      <c r="O706" s="5"/>
      <c r="P706" s="5"/>
      <c r="Q706" s="5"/>
      <c r="R706" s="5"/>
      <c r="S706" s="5"/>
      <c r="T706" s="5"/>
      <c r="U706" s="5"/>
    </row>
    <row r="707" ht="12.75" customHeight="1">
      <c r="A707" s="4" t="s">
        <v>2082</v>
      </c>
      <c r="B707" s="4" t="s">
        <v>2083</v>
      </c>
      <c r="C707" s="8" t="n">
        <v>16965</v>
      </c>
      <c r="D707" s="8" t="n">
        <v>47231</v>
      </c>
      <c r="E707" s="8" t="n">
        <v>42385</v>
      </c>
      <c r="F707" s="8" t="n">
        <v>11342</v>
      </c>
      <c r="G707" s="8" t="n">
        <v>8989</v>
      </c>
      <c r="H707" s="8"/>
      <c r="I707" s="8" t="n">
        <v>35942</v>
      </c>
      <c r="J707" s="8" t="n">
        <v>16751</v>
      </c>
      <c r="K707" s="8" t="n">
        <v>20363</v>
      </c>
      <c r="L707" s="8"/>
      <c r="M707" s="5"/>
      <c r="N707" s="5"/>
      <c r="O707" s="5"/>
      <c r="P707" s="5"/>
      <c r="Q707" s="5"/>
      <c r="R707" s="5"/>
      <c r="S707" s="5"/>
      <c r="T707" s="5"/>
      <c r="U707" s="5"/>
    </row>
    <row r="708" ht="12.75" customHeight="1">
      <c r="A708" s="4"/>
      <c r="B708" s="4" t="s">
        <v>2084</v>
      </c>
      <c r="C708" s="41"/>
      <c r="D708" s="8" t="n">
        <v>58</v>
      </c>
      <c r="E708" s="8" t="n">
        <v>1678</v>
      </c>
      <c r="F708" s="8" t="n">
        <v>74</v>
      </c>
      <c r="G708" s="8" t="n">
        <v>12</v>
      </c>
      <c r="H708" s="8"/>
      <c r="I708" s="8" t="n">
        <v>323</v>
      </c>
      <c r="J708" s="8" t="n">
        <v>189</v>
      </c>
      <c r="K708" s="8" t="n">
        <v>294</v>
      </c>
      <c r="L708" s="41"/>
      <c r="M708" s="5"/>
      <c r="N708" s="5"/>
      <c r="O708" s="5"/>
      <c r="P708" s="5"/>
      <c r="Q708" s="5"/>
      <c r="R708" s="5"/>
      <c r="S708" s="5"/>
      <c r="T708" s="5"/>
      <c r="U708" s="5"/>
    </row>
    <row r="709" ht="12.75" customHeight="1">
      <c r="A709" s="4"/>
      <c r="B709" s="4" t="s">
        <v>2085</v>
      </c>
      <c r="C709" s="8" t="n">
        <v>1621916</v>
      </c>
      <c r="D709" s="8" t="n">
        <v>2074</v>
      </c>
      <c r="E709" s="8" t="n">
        <v>7756</v>
      </c>
      <c r="F709" s="8" t="n">
        <v>5439</v>
      </c>
      <c r="G709" s="8" t="n">
        <v>898</v>
      </c>
      <c r="H709" s="43"/>
      <c r="I709" s="43" t="n">
        <v>837128</v>
      </c>
      <c r="J709" s="8" t="n">
        <v>64334</v>
      </c>
      <c r="K709" s="8" t="n">
        <v>337000</v>
      </c>
      <c r="L709" s="41"/>
      <c r="M709" s="5"/>
      <c r="N709" s="5"/>
      <c r="O709" s="5"/>
      <c r="P709" s="5"/>
      <c r="Q709" s="5"/>
      <c r="R709" s="5"/>
      <c r="S709" s="5"/>
      <c r="T709" s="5"/>
      <c r="U709" s="5"/>
    </row>
    <row r="710" ht="12.75" customHeight="1">
      <c r="A710" s="4" t="s">
        <v>2086</v>
      </c>
      <c r="B710" s="4" t="s">
        <v>2087</v>
      </c>
      <c r="C710" s="8" t="n">
        <v>30495</v>
      </c>
      <c r="D710" s="8" t="n">
        <v>50474</v>
      </c>
      <c r="E710" s="8" t="n">
        <v>91387</v>
      </c>
      <c r="F710" s="8" t="n">
        <v>37469</v>
      </c>
      <c r="G710" s="8" t="n">
        <v>5043</v>
      </c>
      <c r="H710" s="64"/>
      <c r="I710" s="64" t="n">
        <v>29980</v>
      </c>
      <c r="J710" s="64" t="n">
        <v>7147</v>
      </c>
      <c r="K710" s="8" t="n">
        <v>24430</v>
      </c>
      <c r="L710" s="8"/>
      <c r="M710" s="5"/>
      <c r="N710" s="5"/>
      <c r="O710" s="5"/>
      <c r="P710" s="5"/>
      <c r="Q710" s="5"/>
      <c r="R710" s="5"/>
      <c r="S710" s="5"/>
      <c r="T710" s="5"/>
      <c r="U710" s="5"/>
    </row>
    <row r="711" ht="12.75" customHeight="1">
      <c r="A711" s="4"/>
      <c r="B711" s="4" t="s">
        <v>2088</v>
      </c>
      <c r="C711" s="8"/>
      <c r="D711" s="8" t="n">
        <v>41</v>
      </c>
      <c r="E711" s="8" t="n">
        <v>2492</v>
      </c>
      <c r="F711" s="8" t="n">
        <v>40</v>
      </c>
      <c r="G711" s="8" t="n">
        <v>5</v>
      </c>
      <c r="H711" s="8"/>
      <c r="I711" s="8" t="n">
        <v>383</v>
      </c>
      <c r="J711" s="8" t="n">
        <v>126</v>
      </c>
      <c r="K711" s="8" t="n">
        <v>254</v>
      </c>
      <c r="L711" s="41"/>
      <c r="M711" s="5"/>
      <c r="N711" s="5"/>
      <c r="O711" s="5"/>
      <c r="P711" s="5"/>
      <c r="Q711" s="5"/>
      <c r="R711" s="5"/>
      <c r="S711" s="5"/>
      <c r="T711" s="5"/>
      <c r="U711" s="5"/>
    </row>
    <row r="712" ht="12.75" customHeight="1">
      <c r="A712" s="4"/>
      <c r="B712" s="4" t="s">
        <v>2089</v>
      </c>
      <c r="C712" s="8" t="n">
        <v>1621768</v>
      </c>
      <c r="D712" s="8" t="n">
        <v>1905</v>
      </c>
      <c r="E712" s="8" t="n">
        <v>7514</v>
      </c>
      <c r="F712" s="8" t="n">
        <v>5386</v>
      </c>
      <c r="G712" s="8" t="n">
        <v>893</v>
      </c>
      <c r="H712" s="8"/>
      <c r="I712" s="8" t="n">
        <v>836716</v>
      </c>
      <c r="J712" s="43" t="n">
        <v>64205</v>
      </c>
      <c r="K712" s="8" t="n">
        <v>337000</v>
      </c>
      <c r="L712" s="8"/>
      <c r="M712" s="5"/>
      <c r="N712" s="5"/>
      <c r="O712" s="5"/>
      <c r="P712" s="5"/>
      <c r="Q712" s="5"/>
      <c r="R712" s="5"/>
      <c r="S712" s="5"/>
      <c r="T712" s="5"/>
      <c r="U712" s="5"/>
    </row>
    <row r="713" ht="12.75" customHeight="1">
      <c r="A713" s="4" t="s">
        <v>2090</v>
      </c>
      <c r="B713" s="4" t="s">
        <v>2091</v>
      </c>
      <c r="C713" s="8" t="n">
        <v>59844</v>
      </c>
      <c r="D713" s="8" t="n">
        <v>254844</v>
      </c>
      <c r="E713" s="8" t="n">
        <v>106150</v>
      </c>
      <c r="F713" s="8" t="n">
        <v>113000</v>
      </c>
      <c r="G713" s="8" t="n">
        <v>5693</v>
      </c>
      <c r="H713" s="8"/>
      <c r="I713" s="8" t="n">
        <v>51334</v>
      </c>
      <c r="J713" s="8" t="n">
        <v>10784</v>
      </c>
      <c r="K713" s="8" t="n">
        <v>26594</v>
      </c>
      <c r="L713" s="8"/>
      <c r="M713" s="5"/>
      <c r="N713" s="5"/>
      <c r="O713" s="5"/>
      <c r="P713" s="5"/>
      <c r="Q713" s="5"/>
      <c r="R713" s="5"/>
      <c r="S713" s="5"/>
      <c r="T713" s="5"/>
      <c r="U713" s="5"/>
    </row>
    <row r="714" ht="12.75" customHeight="1">
      <c r="A714" s="4"/>
      <c r="B714" s="4" t="s">
        <v>2092</v>
      </c>
      <c r="C714" s="8"/>
      <c r="D714" s="8" t="n">
        <v>3255</v>
      </c>
      <c r="E714" s="8" t="n">
        <v>3068</v>
      </c>
      <c r="F714" s="8" t="n">
        <v>4558</v>
      </c>
      <c r="G714" s="8" t="n">
        <v>10</v>
      </c>
      <c r="H714" s="8"/>
      <c r="I714" s="8" t="n">
        <v>831</v>
      </c>
      <c r="J714" s="8" t="n">
        <v>247</v>
      </c>
      <c r="K714" s="8" t="n">
        <v>222</v>
      </c>
      <c r="L714" s="8"/>
      <c r="M714" s="5"/>
      <c r="N714" s="5"/>
      <c r="O714" s="5"/>
      <c r="P714" s="5"/>
      <c r="Q714" s="5"/>
      <c r="R714" s="5"/>
      <c r="S714" s="5"/>
      <c r="T714" s="5"/>
      <c r="U714" s="5"/>
    </row>
    <row r="715" ht="12.75" customHeight="1">
      <c r="A715" s="4"/>
      <c r="B715" s="4" t="s">
        <v>2093</v>
      </c>
      <c r="C715" s="8" t="n">
        <v>1621664</v>
      </c>
      <c r="D715" s="8" t="n">
        <v>1693</v>
      </c>
      <c r="E715" s="8" t="n">
        <v>7166</v>
      </c>
      <c r="F715" s="8" t="n">
        <v>5278</v>
      </c>
      <c r="G715" s="8" t="n">
        <v>884</v>
      </c>
      <c r="H715" s="8"/>
      <c r="I715" s="8" t="n">
        <v>836113</v>
      </c>
      <c r="J715" s="43" t="n">
        <v>64127</v>
      </c>
      <c r="K715" s="8" t="n">
        <v>337000</v>
      </c>
      <c r="L715" s="8"/>
      <c r="M715" s="5"/>
      <c r="N715" s="5"/>
      <c r="O715" s="5"/>
      <c r="P715" s="5"/>
      <c r="Q715" s="5"/>
      <c r="R715" s="5"/>
      <c r="S715" s="5"/>
      <c r="T715" s="5"/>
      <c r="U715" s="5"/>
    </row>
    <row r="716" ht="12.75" customHeight="1">
      <c r="A716" s="4" t="s">
        <v>2094</v>
      </c>
      <c r="B716" s="4" t="s">
        <v>2095</v>
      </c>
      <c r="C716" s="8" t="n">
        <v>35900</v>
      </c>
      <c r="D716" s="8" t="n">
        <v>144583</v>
      </c>
      <c r="E716" s="8" t="n">
        <v>30277</v>
      </c>
      <c r="F716" s="8" t="n">
        <v>6434</v>
      </c>
      <c r="G716" s="8" t="n">
        <v>32043</v>
      </c>
      <c r="H716" s="8"/>
      <c r="I716" s="8" t="n">
        <v>125868</v>
      </c>
      <c r="J716" s="8" t="n">
        <v>9791</v>
      </c>
      <c r="K716" s="8" t="n">
        <v>28222</v>
      </c>
      <c r="L716" s="8"/>
      <c r="M716" s="5"/>
      <c r="N716" s="5"/>
      <c r="O716" s="5"/>
      <c r="P716" s="5"/>
      <c r="Q716" s="5"/>
      <c r="R716" s="5"/>
      <c r="S716" s="5"/>
      <c r="T716" s="5"/>
      <c r="U716" s="5"/>
    </row>
    <row r="717" ht="12.75" customHeight="1">
      <c r="A717" s="4"/>
      <c r="B717" s="4" t="s">
        <v>2096</v>
      </c>
      <c r="C717" s="8"/>
      <c r="D717" s="8"/>
      <c r="E717" s="8" t="n">
        <v>1029</v>
      </c>
      <c r="F717" s="8" t="n">
        <v>139</v>
      </c>
      <c r="G717" s="8" t="n">
        <v>62</v>
      </c>
      <c r="H717" s="8"/>
      <c r="I717" s="8" t="n">
        <v>1284</v>
      </c>
      <c r="J717" s="8" t="n">
        <v>127</v>
      </c>
      <c r="K717" s="8" t="n">
        <v>101</v>
      </c>
      <c r="L717" s="8"/>
      <c r="M717" s="5"/>
      <c r="N717" s="5"/>
      <c r="O717" s="5"/>
      <c r="P717" s="5"/>
      <c r="Q717" s="5"/>
      <c r="R717" s="5"/>
      <c r="S717" s="5"/>
      <c r="T717" s="5"/>
      <c r="U717" s="5"/>
    </row>
    <row r="718" ht="12.75" customHeight="1">
      <c r="A718" s="4"/>
      <c r="B718" s="4" t="s">
        <v>2097</v>
      </c>
      <c r="C718" s="8" t="n">
        <v>1621400</v>
      </c>
      <c r="D718" s="8" t="n">
        <v>1085</v>
      </c>
      <c r="E718" s="8" t="n">
        <v>6475</v>
      </c>
      <c r="F718" s="8" t="n">
        <v>1620</v>
      </c>
      <c r="G718" s="8" t="n">
        <v>876</v>
      </c>
      <c r="H718" s="8"/>
      <c r="I718" s="8" t="n">
        <v>835163</v>
      </c>
      <c r="J718" s="8" t="n">
        <v>63860</v>
      </c>
      <c r="K718" s="8" t="n">
        <v>337000</v>
      </c>
      <c r="L718" s="43"/>
      <c r="M718" s="5"/>
      <c r="N718" s="5"/>
      <c r="O718" s="5"/>
      <c r="P718" s="5"/>
      <c r="Q718" s="5"/>
      <c r="R718" s="5"/>
      <c r="S718" s="5"/>
      <c r="T718" s="5"/>
      <c r="U718" s="5"/>
    </row>
    <row r="719" ht="12.75" customHeight="1">
      <c r="A719" s="4" t="s">
        <v>2098</v>
      </c>
      <c r="B719" s="4" t="s">
        <v>2099</v>
      </c>
      <c r="C719" s="8" t="n">
        <v>276348</v>
      </c>
      <c r="D719" s="8" t="n">
        <v>162908</v>
      </c>
      <c r="E719" s="8" t="n">
        <v>431965</v>
      </c>
      <c r="F719" s="8" t="n">
        <v>47000</v>
      </c>
      <c r="G719" s="8" t="n">
        <v>54707</v>
      </c>
      <c r="H719" s="8"/>
      <c r="I719" s="8" t="n">
        <v>116237</v>
      </c>
      <c r="J719" s="8" t="n">
        <v>29304</v>
      </c>
      <c r="K719" s="8" t="n">
        <v>1971</v>
      </c>
      <c r="L719" s="8"/>
      <c r="M719" s="5"/>
      <c r="N719" s="5"/>
      <c r="O719" s="5"/>
      <c r="P719" s="5"/>
      <c r="Q719" s="5"/>
      <c r="R719" s="5"/>
      <c r="S719" s="5"/>
      <c r="T719" s="5"/>
      <c r="U719" s="5"/>
    </row>
    <row r="720" ht="12.75" customHeight="1">
      <c r="A720" s="4"/>
      <c r="B720" s="4" t="s">
        <v>2100</v>
      </c>
      <c r="C720" s="8" t="n">
        <v>287</v>
      </c>
      <c r="D720" s="8" t="n">
        <v>5500</v>
      </c>
      <c r="E720" s="8" t="n">
        <v>11952</v>
      </c>
      <c r="F720" s="8" t="n">
        <v>996</v>
      </c>
      <c r="G720" s="8" t="n">
        <v>84</v>
      </c>
      <c r="H720" s="8"/>
      <c r="I720" s="8" t="n">
        <v>1292</v>
      </c>
      <c r="J720" s="8" t="n">
        <v>441</v>
      </c>
      <c r="K720" s="8" t="s">
        <v>2101</v>
      </c>
      <c r="L720" s="8"/>
      <c r="M720" s="5"/>
      <c r="N720" s="5"/>
      <c r="O720" s="5"/>
      <c r="P720" s="5"/>
      <c r="Q720" s="5"/>
      <c r="R720" s="5"/>
      <c r="S720" s="5"/>
      <c r="T720" s="5"/>
      <c r="U720" s="5"/>
    </row>
    <row r="721" ht="12.75" customHeight="1">
      <c r="A721" s="4"/>
      <c r="B721" s="4" t="s">
        <v>2102</v>
      </c>
      <c r="C721" s="8" t="n">
        <v>1621364</v>
      </c>
      <c r="D721" s="8" t="n">
        <v>688</v>
      </c>
      <c r="E721" s="8" t="n">
        <v>6207</v>
      </c>
      <c r="F721" s="8" t="n">
        <v>1606</v>
      </c>
      <c r="G721" s="8" t="n">
        <v>856</v>
      </c>
      <c r="H721" s="8"/>
      <c r="I721" s="8" t="n">
        <v>835098</v>
      </c>
      <c r="J721" s="8" t="n">
        <v>70780</v>
      </c>
      <c r="K721" s="8" t="n">
        <v>336000</v>
      </c>
      <c r="L721" s="41"/>
      <c r="M721" s="5"/>
      <c r="N721" s="5"/>
      <c r="O721" s="5"/>
      <c r="P721" s="5"/>
      <c r="Q721" s="5"/>
      <c r="R721" s="5"/>
      <c r="S721" s="5"/>
      <c r="T721" s="5"/>
      <c r="U721" s="5"/>
    </row>
    <row r="722" ht="12.75" customHeight="1">
      <c r="A722" s="65"/>
      <c r="B722" s="65"/>
      <c r="C722" s="41"/>
      <c r="D722" s="8"/>
      <c r="E722" s="41"/>
      <c r="F722" s="41"/>
      <c r="G722" s="8" t="n">
        <v>1736924</v>
      </c>
      <c r="H722" s="8"/>
      <c r="I722" s="41"/>
      <c r="J722" s="41"/>
      <c r="K722" s="41"/>
      <c r="L722" s="8"/>
      <c r="M722" s="5"/>
      <c r="N722" s="5"/>
      <c r="O722" s="5"/>
      <c r="P722" s="5"/>
      <c r="Q722" s="5"/>
      <c r="R722" s="5"/>
      <c r="S722" s="5"/>
      <c r="T722" s="5"/>
      <c r="U722" s="5"/>
    </row>
    <row r="723" ht="12.75" customHeight="1">
      <c r="A723" s="65"/>
      <c r="B723" s="65"/>
      <c r="C723" s="41"/>
      <c r="D723" s="41"/>
      <c r="E723" s="41"/>
      <c r="F723" s="41"/>
      <c r="G723" s="8" t="n">
        <f>SUM(G719,G716,G713,G710,G707,G701,G698,G695,G692,G689,G683,G680,G677,G674)</f>
        <v>411201</v>
      </c>
      <c r="H723" s="8"/>
      <c r="I723" s="41"/>
      <c r="J723" s="41"/>
      <c r="K723" s="41"/>
      <c r="L723" s="41"/>
      <c r="M723" s="5"/>
      <c r="N723" s="5"/>
      <c r="O723" s="5"/>
      <c r="P723" s="5"/>
      <c r="Q723" s="5"/>
      <c r="R723" s="5"/>
      <c r="S723" s="5"/>
      <c r="T723" s="5"/>
      <c r="U723" s="5"/>
    </row>
    <row r="724" ht="12.75" customHeight="1">
      <c r="A724" s="4"/>
      <c r="B724" s="4"/>
      <c r="C724" s="4" t="s">
        <v>2103</v>
      </c>
      <c r="D724" s="4" t="s">
        <v>2104</v>
      </c>
      <c r="E724" s="4" t="s">
        <v>2105</v>
      </c>
      <c r="F724" s="4" t="s">
        <v>2106</v>
      </c>
      <c r="G724" s="4" t="s">
        <v>2107</v>
      </c>
      <c r="H724" s="4"/>
      <c r="I724" s="4" t="s">
        <v>2108</v>
      </c>
      <c r="J724" s="4" t="s">
        <v>2109</v>
      </c>
      <c r="K724" s="4" t="s">
        <v>2110</v>
      </c>
      <c r="L724" s="4" t="s">
        <v>2111</v>
      </c>
      <c r="M724" s="5"/>
      <c r="N724" s="5"/>
      <c r="O724" s="5"/>
      <c r="P724" s="5"/>
      <c r="Q724" s="5"/>
      <c r="R724" s="5"/>
      <c r="S724" s="5"/>
      <c r="T724" s="5"/>
      <c r="U724" s="5"/>
    </row>
    <row r="725" ht="12.75" customHeight="1">
      <c r="A725" s="4" t="n">
        <v>2021</v>
      </c>
      <c r="B725" s="4" t="s">
        <v>2112</v>
      </c>
      <c r="C725" s="8" t="n">
        <f>SUM(C719,C716,C713,C710,C707,C701,C698,C695,C692,C689,C683,C680,C677,C674,C668,C665,C662,C659,C656,C650,C647,C644,C641,C635,C632,C629,C626,C623,C617,C614,C608,C605,C599,C596,C593,C590,C587,C584,C581,C578,C575,C572)</f>
        <v>2128572</v>
      </c>
      <c r="D725" s="8" t="n">
        <f>SUM(D719,D716,D713,D710,D707,D701,D698,D695,D692,D689,D683,D680,D677,D674,D668,D665,D662,D659,D656,D650,D647,D644,D641,D635,D632,D629,D626,D623,D617,D614,D608,D605,D599,D596,D593,D590,D587,D584,D581,D578,D575,D572)</f>
        <v>3463927</v>
      </c>
      <c r="E725" s="8" t="n">
        <f>SUM(E719,E716,E713,E710,E707,E701,E698,E695,E692,E689,E683,E680,E677,E674,E668,E665,E662,E659,E656,E650,E647,E644,E641,E635,E632,E629,E626,E623,E617,E614,E608,E605,E599,E596,E593,E590,E587,E584,E581,E578,E575,E572)</f>
        <v>6205926</v>
      </c>
      <c r="F725" s="8" t="n">
        <f>SUM(F719,F716,F713,F710,F707,F701,F698,F695,F692,F689,F683,F680,F677,F674,F668,F665,F662,F659,F656,F650,F647,F644,F641,F635,F632,F629,F626,F623,F617,F614,F608,F605,F599,F596,F593,F590,F587,F584,F581,F578,F575,F572)</f>
        <v>9276270</v>
      </c>
      <c r="G725" s="8" t="n">
        <f>SUM(G719,G716,G713,G710,G707,G701,G698,G695,G692,G689,G683,G680,G677,G674,G668,G665,G662,G659,G656,G650,G647,G644,G641,G635,G632,G629,G626,G623,G617,G614,G608,G605,G599,G596,G593,G590,G587,G584,G581,G578,G575,G572)</f>
        <v>24296467</v>
      </c>
      <c r="H725" s="8"/>
      <c r="I725" s="9" t="n">
        <f>SUM(I719,I716,I713,I710,I707,I701,I698,I695,I692,I689,I683,I680,I677,I674,I668,I665,I662,I659,I656,I650,I647,I644,I641,I635,I632,I629,I626,I623,I617,I614,I608,I605,I599,I596,I593,I590,I587,I584,I581,I578,I575,I572)</f>
        <v>5939709</v>
      </c>
      <c r="J725" s="8" t="n">
        <f>SUM(J719,J716,J713,J710,J707,J701,J698,J695,J692,J689,J683,J680,J677,J674,J668,J665,J662,J659,J656,J650,J647,J644,J641,J635,J632,J629,J626,J623,J617,J614,J608,J605,J599,J596,J593,J590,J587,J584,J581,J578,J575,J572)</f>
        <v>2640835</v>
      </c>
      <c r="K725" s="8" t="n">
        <f>SUM(K719,K716,K713,K710,K707,K701,K698,K695,K692,K689,K683,K680,K677,K674,K668,K665,K662,K659,K656,K650,K647,K644,K641,K635,K632,K629,K626,K623,K617,K614,K608,K605,K599,K596,K593,K590,K587,K584,K581,K578,K575,K572)</f>
        <v>2963674</v>
      </c>
      <c r="L725" s="8" t="n">
        <f>SUM(L719,L716,L713,L710,L707,L701,L698,L695,L692,L689,L683,L680,L677,L674,L668,L665,L662,L659,L656,L650,L647,L644,L641,L635,L632,L629,L626,L623,L617,L614,L608,L605,L599,L596,L593,L590,L587,L584,L581,L578,L575,L572)</f>
        <v>570477</v>
      </c>
      <c r="M725" s="5"/>
      <c r="N725" s="5"/>
      <c r="O725" s="5"/>
      <c r="P725" s="5"/>
      <c r="Q725" s="5"/>
      <c r="R725" s="5"/>
      <c r="S725" s="5"/>
      <c r="T725" s="5"/>
      <c r="U725" s="5"/>
    </row>
    <row r="726" ht="12.75" customHeight="1">
      <c r="A726" s="4"/>
      <c r="B726" s="4" t="s">
        <v>2113</v>
      </c>
      <c r="C726" s="8" t="n">
        <v>5165</v>
      </c>
      <c r="D726" s="8" t="n">
        <v>6986</v>
      </c>
      <c r="E726" s="8" t="n">
        <v>18452</v>
      </c>
      <c r="F726" s="8" t="n">
        <v>81394</v>
      </c>
      <c r="G726" s="8" t="n">
        <v>52144</v>
      </c>
      <c r="H726" s="8" t="n">
        <f>SUM(C726:G726)</f>
        <v>164141</v>
      </c>
      <c r="I726" s="8" t="n">
        <v>49208</v>
      </c>
      <c r="J726" s="8" t="n">
        <v>5730</v>
      </c>
      <c r="K726" s="8" t="n">
        <v>6495</v>
      </c>
      <c r="L726" s="8" t="n">
        <v>82590</v>
      </c>
      <c r="M726" s="5"/>
      <c r="N726" s="5"/>
      <c r="O726" s="5"/>
      <c r="P726" s="5"/>
      <c r="Q726" s="5"/>
      <c r="R726" s="5"/>
      <c r="S726" s="5"/>
      <c r="T726" s="5"/>
      <c r="U726" s="5"/>
    </row>
    <row r="727" ht="12.75" customHeight="1">
      <c r="A727" s="65"/>
      <c r="B727" s="65"/>
      <c r="C727" s="41"/>
      <c r="D727" s="41"/>
      <c r="E727" s="41"/>
      <c r="F727" s="41"/>
      <c r="G727" s="41"/>
      <c r="H727" s="8"/>
      <c r="I727" s="41"/>
      <c r="J727" s="41"/>
      <c r="K727" s="41"/>
      <c r="L727" s="41"/>
      <c r="M727" s="5"/>
      <c r="N727" s="5"/>
      <c r="O727" s="5"/>
      <c r="P727" s="5"/>
      <c r="Q727" s="5"/>
      <c r="R727" s="5"/>
      <c r="S727" s="5"/>
      <c r="T727" s="5"/>
      <c r="U727" s="5"/>
    </row>
    <row r="728" ht="12.75" customHeight="1">
      <c r="A728" s="66"/>
      <c r="B728" s="66"/>
      <c r="C728" s="8" t="s">
        <v>2114</v>
      </c>
      <c r="D728" s="8" t="s">
        <v>2115</v>
      </c>
      <c r="E728" s="8" t="s">
        <v>2116</v>
      </c>
      <c r="F728" s="8" t="s">
        <v>2117</v>
      </c>
      <c r="G728" s="8" t="s">
        <v>2118</v>
      </c>
      <c r="H728" s="8"/>
      <c r="I728" s="8" t="s">
        <v>2119</v>
      </c>
      <c r="J728" s="8" t="s">
        <v>2120</v>
      </c>
      <c r="K728" s="8" t="s">
        <v>2121</v>
      </c>
      <c r="L728" s="8" t="s">
        <v>2122</v>
      </c>
      <c r="M728" s="5"/>
      <c r="N728" s="5"/>
      <c r="O728" s="5"/>
      <c r="P728" s="5"/>
      <c r="Q728" s="5"/>
      <c r="R728" s="5"/>
      <c r="S728" s="5"/>
      <c r="T728" s="5"/>
      <c r="U728" s="5"/>
    </row>
    <row r="729" ht="12.75" customHeight="1">
      <c r="A729" s="66" t="s">
        <v>2123</v>
      </c>
      <c r="B729" s="66" t="s">
        <v>2124</v>
      </c>
      <c r="C729" s="8" t="s">
        <v>2125</v>
      </c>
      <c r="D729" s="8" t="s">
        <v>2126</v>
      </c>
      <c r="E729" s="8" t="s">
        <v>2127</v>
      </c>
      <c r="F729" s="8" t="s">
        <v>2128</v>
      </c>
      <c r="G729" s="8" t="s">
        <v>2129</v>
      </c>
      <c r="H729" s="8"/>
      <c r="I729" s="8" t="s">
        <v>2130</v>
      </c>
      <c r="J729" s="8" t="s">
        <v>2131</v>
      </c>
      <c r="K729" s="8" t="s">
        <v>2132</v>
      </c>
      <c r="L729" s="8" t="s">
        <v>2133</v>
      </c>
      <c r="M729" s="45" t="n">
        <v>86655</v>
      </c>
      <c r="N729" s="45" t="n">
        <v>346424</v>
      </c>
      <c r="O729" s="5"/>
      <c r="P729" s="5"/>
      <c r="Q729" s="5"/>
      <c r="R729" s="5"/>
      <c r="S729" s="5"/>
      <c r="T729" s="5"/>
      <c r="U729" s="5"/>
    </row>
    <row r="730" ht="12.75" customHeight="1">
      <c r="A730" s="66"/>
      <c r="B730" s="66" t="s">
        <v>2134</v>
      </c>
      <c r="C730" s="8" t="n">
        <v>3365</v>
      </c>
      <c r="D730" s="8" t="n">
        <v>2616</v>
      </c>
      <c r="E730" s="8" t="n">
        <v>6148</v>
      </c>
      <c r="F730" s="8" t="n">
        <v>14394</v>
      </c>
      <c r="G730" s="8" t="n">
        <v>5448</v>
      </c>
      <c r="H730" s="8"/>
      <c r="I730" s="8" t="n">
        <v>10202</v>
      </c>
      <c r="J730" s="8" t="n">
        <v>-4358</v>
      </c>
      <c r="K730" s="8" t="n">
        <v>3000</v>
      </c>
      <c r="L730" s="8"/>
      <c r="M730" s="5"/>
      <c r="N730" s="5"/>
      <c r="O730" s="5"/>
      <c r="P730" s="5"/>
      <c r="Q730" s="5"/>
      <c r="R730" s="5"/>
      <c r="S730" s="5"/>
      <c r="T730" s="5"/>
      <c r="U730" s="5"/>
    </row>
    <row r="731" ht="12.75" customHeight="1">
      <c r="A731" s="65"/>
      <c r="B731" s="65"/>
      <c r="C731" s="41"/>
      <c r="D731" s="41"/>
      <c r="E731" s="41"/>
      <c r="F731" s="41"/>
      <c r="G731" s="8" t="n">
        <f>SUM(D730:G730)</f>
        <v>28606</v>
      </c>
      <c r="H731" s="8"/>
      <c r="I731" s="41"/>
      <c r="J731" s="41"/>
      <c r="K731" s="41"/>
      <c r="L731" s="41"/>
      <c r="M731" s="5"/>
      <c r="N731" s="5"/>
      <c r="O731" s="5"/>
      <c r="P731" s="5"/>
      <c r="Q731" s="5"/>
      <c r="R731" s="5"/>
      <c r="S731" s="5"/>
      <c r="T731" s="5"/>
      <c r="U731" s="5"/>
    </row>
    <row r="732" ht="12.75" customHeight="1">
      <c r="A732" s="65"/>
      <c r="B732" s="65"/>
      <c r="C732" s="41"/>
      <c r="D732" s="41"/>
      <c r="E732" s="41"/>
      <c r="F732" s="41"/>
      <c r="G732" s="41"/>
      <c r="H732" s="8"/>
      <c r="I732" s="41"/>
      <c r="J732" s="41"/>
      <c r="K732" s="41"/>
      <c r="L732" s="41"/>
      <c r="M732" s="5"/>
      <c r="N732" s="5"/>
      <c r="O732" s="5"/>
      <c r="P732" s="5"/>
      <c r="Q732" s="5"/>
      <c r="R732" s="5"/>
      <c r="S732" s="5"/>
      <c r="T732" s="5"/>
      <c r="U732" s="5"/>
    </row>
    <row r="733" ht="12.75" customHeight="1">
      <c r="A733" s="65"/>
      <c r="B733" s="65"/>
      <c r="C733" s="41"/>
      <c r="D733" s="41"/>
      <c r="E733" s="41"/>
      <c r="F733" s="41"/>
      <c r="G733" s="41"/>
      <c r="H733" s="8"/>
      <c r="I733" s="41"/>
      <c r="J733" s="41"/>
      <c r="K733" s="41"/>
      <c r="L733" s="41"/>
      <c r="M733" s="5"/>
      <c r="N733" s="5"/>
      <c r="O733" s="5"/>
      <c r="P733" s="5"/>
      <c r="Q733" s="5"/>
      <c r="R733" s="5"/>
      <c r="S733" s="5"/>
      <c r="T733" s="5"/>
      <c r="U733" s="5"/>
    </row>
    <row r="734" ht="12.75" customHeight="1">
      <c r="A734" s="65"/>
      <c r="B734" s="65"/>
      <c r="C734" s="49" t="n">
        <v>1626529</v>
      </c>
      <c r="D734" s="49" t="n">
        <v>7674</v>
      </c>
      <c r="E734" s="49" t="n">
        <v>24659</v>
      </c>
      <c r="F734" s="49" t="n">
        <v>83000</v>
      </c>
      <c r="G734" s="49" t="n">
        <v>53000</v>
      </c>
      <c r="H734" s="49"/>
      <c r="I734" s="50" t="n">
        <v>884306</v>
      </c>
      <c r="J734" s="45" t="n">
        <v>76510</v>
      </c>
      <c r="K734" s="45" t="n">
        <v>342495</v>
      </c>
      <c r="L734" s="45" t="n">
        <v>82590</v>
      </c>
      <c r="M734" s="5"/>
      <c r="N734" s="5"/>
      <c r="O734" s="5"/>
      <c r="P734" s="5"/>
      <c r="Q734" s="5"/>
      <c r="R734" s="5"/>
      <c r="S734" s="5"/>
      <c r="T734" s="5"/>
      <c r="U734" s="5"/>
    </row>
    <row r="735" ht="20.25" customHeight="1">
      <c r="A735" s="65"/>
      <c r="B735" s="65"/>
      <c r="C735" s="8" t="n">
        <v>1621364</v>
      </c>
      <c r="D735" s="8" t="n">
        <v>688</v>
      </c>
      <c r="E735" s="8" t="n">
        <v>6207</v>
      </c>
      <c r="F735" s="8" t="n">
        <v>1606</v>
      </c>
      <c r="G735" s="8" t="n">
        <v>856</v>
      </c>
      <c r="H735" s="8"/>
      <c r="I735" s="8" t="n">
        <v>835098</v>
      </c>
      <c r="J735" s="8" t="n">
        <v>70780</v>
      </c>
      <c r="K735" s="8" t="n">
        <v>336000</v>
      </c>
      <c r="L735" s="8"/>
      <c r="M735" s="5"/>
      <c r="N735" s="5"/>
      <c r="O735" s="5"/>
      <c r="P735" s="5"/>
      <c r="Q735" s="5"/>
      <c r="R735" s="5"/>
      <c r="S735" s="5"/>
      <c r="T735" s="5"/>
      <c r="U735" s="5"/>
    </row>
    <row r="736" ht="12.75" customHeight="1">
      <c r="A736" s="65"/>
      <c r="B736" s="65"/>
      <c r="C736" s="8" t="n">
        <f>SUM(C734-C735)</f>
        <v>5165</v>
      </c>
      <c r="D736" s="8" t="n">
        <f>SUM(D734-D735)</f>
        <v>6986</v>
      </c>
      <c r="E736" s="8" t="n">
        <f>SUM(E734-E735)</f>
        <v>18452</v>
      </c>
      <c r="F736" s="8" t="n">
        <f>SUM(F734-F735)</f>
        <v>81394</v>
      </c>
      <c r="G736" s="8" t="n">
        <f>SUM(G734-G735)</f>
        <v>52144</v>
      </c>
      <c r="H736" s="8"/>
      <c r="I736" s="9" t="n">
        <f>SUM(I734-I735)</f>
        <v>49208</v>
      </c>
      <c r="J736" s="8" t="n">
        <f>SUM(J734-J735)</f>
        <v>5730</v>
      </c>
      <c r="K736" s="8" t="n">
        <f>SUM(K734-K735)</f>
        <v>6495</v>
      </c>
      <c r="L736" s="8" t="n">
        <f>SUM(L734-L735)</f>
        <v>82590</v>
      </c>
      <c r="M736" s="5"/>
      <c r="N736" s="5"/>
      <c r="O736" s="5"/>
      <c r="P736" s="5"/>
      <c r="Q736" s="5"/>
      <c r="R736" s="5"/>
      <c r="S736" s="5"/>
      <c r="T736" s="5"/>
      <c r="U736" s="5"/>
    </row>
    <row r="737" ht="12.75" customHeight="1">
      <c r="A737" s="65"/>
      <c r="B737" s="65"/>
      <c r="C737" s="41"/>
      <c r="D737" s="41"/>
      <c r="E737" s="41"/>
      <c r="F737" s="41"/>
      <c r="G737" s="41"/>
      <c r="H737" s="8"/>
      <c r="I737" s="41"/>
      <c r="J737" s="41"/>
      <c r="K737" s="41"/>
      <c r="L737" s="41"/>
      <c r="M737" s="5"/>
      <c r="N737" s="5"/>
      <c r="O737" s="5"/>
      <c r="P737" s="5"/>
      <c r="Q737" s="5"/>
      <c r="R737" s="5"/>
      <c r="S737" s="5"/>
      <c r="T737" s="5"/>
      <c r="U737" s="5"/>
    </row>
    <row r="738" ht="12.75" customHeight="1">
      <c r="A738" s="65"/>
      <c r="B738" s="65"/>
      <c r="C738" s="41"/>
      <c r="D738" s="41"/>
      <c r="E738" s="41"/>
      <c r="F738" s="41"/>
      <c r="G738" s="41"/>
      <c r="H738" s="8"/>
      <c r="I738" s="41"/>
      <c r="J738" s="41"/>
      <c r="K738" s="41"/>
      <c r="L738" s="41"/>
      <c r="M738" s="5"/>
      <c r="N738" s="5"/>
      <c r="O738" s="5"/>
      <c r="P738" s="5"/>
      <c r="Q738" s="5"/>
      <c r="R738" s="5"/>
      <c r="S738" s="5"/>
      <c r="T738" s="5"/>
      <c r="U738" s="5"/>
    </row>
    <row r="739" ht="19.5" customHeight="1">
      <c r="A739" s="65"/>
      <c r="B739" s="65"/>
      <c r="C739" s="41"/>
      <c r="D739" s="41"/>
      <c r="E739" s="41"/>
      <c r="F739" s="41"/>
      <c r="G739" s="8" t="n">
        <v>835098</v>
      </c>
      <c r="H739" s="8"/>
      <c r="I739" s="41"/>
      <c r="J739" s="41"/>
      <c r="K739" s="41"/>
      <c r="L739" s="41"/>
      <c r="M739" s="5"/>
      <c r="N739" s="5"/>
      <c r="O739" s="5"/>
      <c r="P739" s="5"/>
      <c r="Q739" s="5"/>
      <c r="R739" s="5"/>
      <c r="S739" s="5"/>
      <c r="T739" s="5"/>
      <c r="U739" s="5"/>
    </row>
    <row r="740" ht="18.75" customHeight="1">
      <c r="A740" s="65"/>
      <c r="B740" s="65"/>
      <c r="C740" s="41"/>
      <c r="D740" s="41"/>
      <c r="E740" s="41"/>
      <c r="F740" s="41"/>
      <c r="G740" s="8" t="n">
        <v>70780</v>
      </c>
      <c r="H740" s="8"/>
      <c r="I740" s="41"/>
      <c r="J740" s="41"/>
      <c r="K740" s="41"/>
      <c r="L740" s="41"/>
      <c r="M740" s="5"/>
      <c r="N740" s="5"/>
      <c r="O740" s="5"/>
      <c r="P740" s="5"/>
      <c r="Q740" s="5"/>
      <c r="R740" s="5"/>
      <c r="S740" s="5"/>
      <c r="T740" s="5"/>
      <c r="U740" s="5"/>
    </row>
    <row r="741" ht="9.75" customHeight="1">
      <c r="A741" s="65"/>
      <c r="B741" s="65"/>
      <c r="C741" s="41"/>
      <c r="D741" s="41"/>
      <c r="E741" s="41"/>
      <c r="F741" s="41"/>
      <c r="G741" s="8" t="n">
        <v>336000</v>
      </c>
      <c r="H741" s="8"/>
      <c r="I741" s="41"/>
      <c r="J741" s="41"/>
      <c r="K741" s="41"/>
      <c r="L741" s="41"/>
      <c r="M741" s="5"/>
      <c r="N741" s="5"/>
      <c r="O741" s="5"/>
      <c r="P741" s="5"/>
      <c r="Q741" s="5"/>
      <c r="R741" s="5"/>
      <c r="S741" s="5"/>
      <c r="T741" s="5"/>
      <c r="U741" s="5"/>
    </row>
    <row r="742" ht="9.75" customHeight="1">
      <c r="A742" s="65"/>
      <c r="B742" s="65"/>
      <c r="C742" s="41"/>
      <c r="D742" s="41"/>
      <c r="E742" s="41"/>
      <c r="F742" s="41"/>
      <c r="G742" s="8" t="n">
        <v>1606</v>
      </c>
      <c r="H742" s="8"/>
      <c r="I742" s="41"/>
      <c r="J742" s="41"/>
      <c r="K742" s="41"/>
      <c r="L742" s="41"/>
      <c r="M742" s="5"/>
      <c r="N742" s="5"/>
      <c r="O742" s="5"/>
      <c r="P742" s="5"/>
      <c r="Q742" s="5"/>
      <c r="R742" s="5"/>
      <c r="S742" s="5"/>
      <c r="T742" s="5"/>
      <c r="U742" s="5"/>
    </row>
    <row r="743">
      <c r="A743" s="65"/>
      <c r="B743" s="65"/>
      <c r="C743" s="41"/>
      <c r="D743" s="41"/>
      <c r="E743" s="41"/>
      <c r="F743" s="41"/>
      <c r="G743" s="8" t="n">
        <v>856</v>
      </c>
      <c r="H743" s="8"/>
      <c r="I743" s="41"/>
      <c r="J743" s="41"/>
      <c r="K743" s="41"/>
      <c r="L743" s="41"/>
      <c r="M743" s="5"/>
      <c r="N743" s="5"/>
      <c r="O743" s="5"/>
      <c r="P743" s="5"/>
      <c r="Q743" s="5"/>
      <c r="R743" s="5"/>
      <c r="S743" s="5"/>
      <c r="T743" s="5"/>
      <c r="U743" s="5"/>
    </row>
    <row r="744">
      <c r="A744" s="65"/>
      <c r="B744" s="65"/>
      <c r="C744" s="41"/>
      <c r="D744" s="41"/>
      <c r="E744" s="41"/>
      <c r="F744" s="41"/>
      <c r="G744" s="41"/>
      <c r="H744" s="8"/>
      <c r="I744" s="41"/>
      <c r="J744" s="41"/>
      <c r="K744" s="41"/>
      <c r="L744" s="41"/>
      <c r="M744" s="5"/>
      <c r="N744" s="5"/>
      <c r="O744" s="5"/>
      <c r="P744" s="5"/>
      <c r="Q744" s="5"/>
      <c r="R744" s="5"/>
      <c r="S744" s="5"/>
      <c r="T744" s="5"/>
      <c r="U744" s="5"/>
    </row>
    <row r="745">
      <c r="A745" s="65"/>
      <c r="B745" s="65"/>
      <c r="C745" s="41"/>
      <c r="D745" s="41"/>
      <c r="E745" s="41"/>
      <c r="F745" s="41"/>
      <c r="G745" s="41"/>
      <c r="H745" s="8"/>
      <c r="I745" s="41"/>
      <c r="J745" s="41"/>
      <c r="K745" s="41"/>
      <c r="L745" s="41"/>
      <c r="M745" s="5"/>
      <c r="N745" s="5"/>
      <c r="O745" s="5"/>
      <c r="P745" s="5"/>
      <c r="Q745" s="5"/>
      <c r="R745" s="5"/>
      <c r="S745" s="5"/>
      <c r="T745" s="5"/>
      <c r="U745" s="5"/>
    </row>
    <row r="746">
      <c r="A746" s="65"/>
      <c r="B746" s="65"/>
      <c r="C746" s="41"/>
      <c r="D746" s="41"/>
      <c r="E746" s="41"/>
      <c r="F746" s="41"/>
      <c r="G746" s="41"/>
      <c r="H746" s="8"/>
      <c r="I746" s="41"/>
      <c r="J746" s="41"/>
      <c r="K746" s="41"/>
      <c r="L746" s="41"/>
      <c r="M746" s="5"/>
      <c r="N746" s="5"/>
      <c r="O746" s="5"/>
      <c r="P746" s="5"/>
      <c r="Q746" s="5"/>
      <c r="R746" s="5"/>
      <c r="S746" s="5"/>
      <c r="T746" s="5"/>
      <c r="U746" s="5"/>
    </row>
    <row r="747">
      <c r="A747" s="65"/>
      <c r="B747" s="65"/>
      <c r="C747" s="41"/>
      <c r="D747" s="41"/>
      <c r="E747" s="41"/>
      <c r="F747" s="41"/>
      <c r="G747" s="41"/>
      <c r="H747" s="8"/>
      <c r="I747" s="41"/>
      <c r="J747" s="41"/>
      <c r="K747" s="41"/>
      <c r="L747" s="41"/>
      <c r="M747" s="5"/>
      <c r="N747" s="5"/>
      <c r="O747" s="5"/>
      <c r="P747" s="5"/>
      <c r="Q747" s="5"/>
      <c r="R747" s="5"/>
      <c r="S747" s="5"/>
      <c r="T747" s="5"/>
      <c r="U747" s="5"/>
    </row>
    <row r="748">
      <c r="A748" s="65"/>
      <c r="B748" s="65"/>
      <c r="C748" s="41"/>
      <c r="D748" s="41"/>
      <c r="E748" s="41"/>
      <c r="F748" s="41"/>
      <c r="G748" s="41"/>
      <c r="H748" s="8"/>
      <c r="I748" s="41"/>
      <c r="J748" s="41"/>
      <c r="K748" s="41"/>
      <c r="L748" s="41"/>
      <c r="M748" s="5"/>
      <c r="N748" s="5"/>
      <c r="O748" s="5"/>
      <c r="P748" s="5"/>
      <c r="Q748" s="5"/>
      <c r="R748" s="5"/>
      <c r="S748" s="5"/>
      <c r="T748" s="5"/>
      <c r="U748" s="5"/>
    </row>
    <row r="749">
      <c r="A749" s="65"/>
      <c r="B749" s="65"/>
      <c r="C749" s="41"/>
      <c r="D749" s="41"/>
      <c r="E749" s="41"/>
      <c r="F749" s="41"/>
      <c r="G749" s="41"/>
      <c r="H749" s="8"/>
      <c r="I749" s="41"/>
      <c r="J749" s="41"/>
      <c r="K749" s="41"/>
      <c r="L749" s="41"/>
      <c r="M749" s="5"/>
      <c r="N749" s="5"/>
      <c r="O749" s="5"/>
      <c r="P749" s="5"/>
      <c r="Q749" s="5"/>
      <c r="R749" s="5"/>
      <c r="S749" s="5"/>
      <c r="T749" s="5"/>
      <c r="U749" s="5"/>
    </row>
    <row r="750">
      <c r="A750" s="65"/>
      <c r="B750" s="65"/>
      <c r="C750" s="41"/>
      <c r="D750" s="41"/>
      <c r="E750" s="41"/>
      <c r="F750" s="41"/>
      <c r="G750" s="41"/>
      <c r="H750" s="8"/>
      <c r="I750" s="41"/>
      <c r="J750" s="41"/>
      <c r="K750" s="41"/>
      <c r="L750" s="41"/>
      <c r="M750" s="5"/>
      <c r="N750" s="5"/>
      <c r="O750" s="5"/>
      <c r="P750" s="5"/>
      <c r="Q750" s="5"/>
      <c r="R750" s="5"/>
      <c r="S750" s="5"/>
      <c r="T750" s="5"/>
      <c r="U750" s="5"/>
    </row>
    <row r="751">
      <c r="A751" s="65"/>
      <c r="B751" s="65"/>
      <c r="C751" s="41"/>
      <c r="D751" s="41"/>
      <c r="E751" s="41"/>
      <c r="F751" s="41"/>
      <c r="G751" s="41"/>
      <c r="H751" s="8"/>
      <c r="I751" s="41"/>
      <c r="J751" s="41"/>
      <c r="K751" s="41"/>
      <c r="L751" s="41"/>
      <c r="M751" s="5"/>
      <c r="N751" s="5"/>
      <c r="O751" s="5"/>
      <c r="P751" s="5"/>
      <c r="Q751" s="5"/>
      <c r="R751" s="5"/>
      <c r="S751" s="5"/>
      <c r="T751" s="5"/>
      <c r="U751" s="5"/>
    </row>
    <row r="752">
      <c r="A752" s="65"/>
      <c r="B752" s="65"/>
      <c r="C752" s="41"/>
      <c r="D752" s="41"/>
      <c r="E752" s="41"/>
      <c r="F752" s="41"/>
      <c r="G752" s="41"/>
      <c r="H752" s="8"/>
      <c r="I752" s="41"/>
      <c r="J752" s="41"/>
      <c r="K752" s="41"/>
      <c r="L752" s="41"/>
      <c r="M752" s="5"/>
      <c r="N752" s="5"/>
      <c r="O752" s="5"/>
      <c r="P752" s="5"/>
      <c r="Q752" s="5"/>
      <c r="R752" s="5"/>
      <c r="S752" s="5"/>
      <c r="T752" s="5"/>
      <c r="U752" s="5"/>
    </row>
    <row r="753">
      <c r="A753" s="65"/>
      <c r="B753" s="65"/>
      <c r="C753" s="41"/>
      <c r="D753" s="41"/>
      <c r="E753" s="41"/>
      <c r="F753" s="41"/>
      <c r="G753" s="41"/>
      <c r="H753" s="8"/>
      <c r="I753" s="41"/>
      <c r="J753" s="41"/>
      <c r="K753" s="41"/>
      <c r="L753" s="41"/>
      <c r="M753" s="5"/>
      <c r="N753" s="5"/>
      <c r="O753" s="5"/>
      <c r="P753" s="5"/>
      <c r="Q753" s="5"/>
      <c r="R753" s="5"/>
      <c r="S753" s="5"/>
      <c r="T753" s="5"/>
      <c r="U753" s="5"/>
    </row>
    <row r="754">
      <c r="A754" s="65"/>
      <c r="B754" s="65"/>
      <c r="C754" s="41"/>
      <c r="D754" s="41"/>
      <c r="E754" s="41"/>
      <c r="F754" s="41"/>
      <c r="G754" s="41"/>
      <c r="H754" s="8"/>
      <c r="I754" s="41"/>
      <c r="J754" s="41"/>
      <c r="K754" s="41"/>
      <c r="L754" s="41"/>
      <c r="M754" s="5"/>
      <c r="N754" s="5"/>
      <c r="O754" s="5"/>
      <c r="P754" s="5"/>
      <c r="Q754" s="5"/>
      <c r="R754" s="5"/>
      <c r="S754" s="5"/>
      <c r="T754" s="5"/>
      <c r="U754" s="5"/>
    </row>
    <row r="755">
      <c r="A755" s="65"/>
      <c r="B755" s="65"/>
      <c r="C755" s="41"/>
      <c r="D755" s="41"/>
      <c r="E755" s="41"/>
      <c r="F755" s="41"/>
      <c r="G755" s="41"/>
      <c r="H755" s="8"/>
      <c r="I755" s="41"/>
      <c r="J755" s="41"/>
      <c r="K755" s="41"/>
      <c r="L755" s="41"/>
      <c r="M755" s="5"/>
      <c r="N755" s="5"/>
      <c r="O755" s="5"/>
      <c r="P755" s="5"/>
      <c r="Q755" s="5"/>
      <c r="R755" s="5"/>
      <c r="S755" s="5"/>
      <c r="T755" s="5"/>
      <c r="U755" s="5"/>
    </row>
    <row r="756">
      <c r="A756" s="65"/>
      <c r="B756" s="65"/>
      <c r="C756" s="41"/>
      <c r="D756" s="41"/>
      <c r="E756" s="41"/>
      <c r="F756" s="41"/>
      <c r="G756" s="41"/>
      <c r="H756" s="8"/>
      <c r="I756" s="41"/>
      <c r="J756" s="41"/>
      <c r="K756" s="41"/>
      <c r="L756" s="41"/>
      <c r="M756" s="5"/>
      <c r="N756" s="5"/>
      <c r="O756" s="5"/>
      <c r="P756" s="5"/>
      <c r="Q756" s="5"/>
      <c r="R756" s="5"/>
      <c r="S756" s="5"/>
      <c r="T756" s="5"/>
      <c r="U756" s="5"/>
    </row>
    <row r="757">
      <c r="A757" s="65"/>
      <c r="B757" s="65"/>
      <c r="C757" s="41"/>
      <c r="D757" s="41"/>
      <c r="E757" s="41"/>
      <c r="F757" s="41"/>
      <c r="G757" s="41"/>
      <c r="H757" s="8"/>
      <c r="I757" s="41"/>
      <c r="J757" s="41"/>
      <c r="K757" s="41"/>
      <c r="L757" s="41"/>
      <c r="M757" s="5"/>
      <c r="N757" s="5"/>
      <c r="O757" s="5"/>
      <c r="P757" s="5"/>
      <c r="Q757" s="5"/>
      <c r="R757" s="5"/>
      <c r="S757" s="5"/>
      <c r="T757" s="5"/>
      <c r="U757" s="5"/>
    </row>
    <row r="758">
      <c r="A758" s="65"/>
      <c r="B758" s="65"/>
      <c r="C758" s="41"/>
      <c r="D758" s="41"/>
      <c r="E758" s="41"/>
      <c r="F758" s="41"/>
      <c r="G758" s="41"/>
      <c r="H758" s="8"/>
      <c r="I758" s="41"/>
      <c r="J758" s="41"/>
      <c r="K758" s="41"/>
      <c r="L758" s="41"/>
      <c r="M758" s="5"/>
      <c r="N758" s="5"/>
      <c r="O758" s="5"/>
      <c r="P758" s="5"/>
      <c r="Q758" s="5"/>
      <c r="R758" s="5"/>
      <c r="S758" s="5"/>
      <c r="T758" s="5"/>
      <c r="U758" s="5"/>
    </row>
    <row r="759">
      <c r="A759" s="65"/>
      <c r="B759" s="65"/>
      <c r="C759" s="41"/>
      <c r="D759" s="41"/>
      <c r="E759" s="41"/>
      <c r="F759" s="41"/>
      <c r="G759" s="41"/>
      <c r="H759" s="8"/>
      <c r="I759" s="41"/>
      <c r="J759" s="41"/>
      <c r="K759" s="41"/>
      <c r="L759" s="41"/>
      <c r="M759" s="5"/>
      <c r="N759" s="5"/>
      <c r="O759" s="5"/>
      <c r="P759" s="5"/>
      <c r="Q759" s="5"/>
      <c r="R759" s="5"/>
      <c r="S759" s="5"/>
      <c r="T759" s="5"/>
      <c r="U759" s="5"/>
    </row>
    <row r="760">
      <c r="A760" s="65"/>
      <c r="B760" s="65"/>
      <c r="C760" s="41"/>
      <c r="D760" s="41"/>
      <c r="E760" s="41"/>
      <c r="F760" s="41"/>
      <c r="G760" s="41"/>
      <c r="H760" s="8"/>
      <c r="I760" s="41"/>
      <c r="J760" s="41"/>
      <c r="K760" s="41"/>
      <c r="L760" s="41"/>
      <c r="M760" s="5"/>
      <c r="N760" s="5"/>
      <c r="O760" s="5"/>
      <c r="P760" s="5"/>
      <c r="Q760" s="5"/>
      <c r="R760" s="5"/>
      <c r="S760" s="5"/>
      <c r="T760" s="5"/>
      <c r="U760" s="5"/>
    </row>
    <row r="761">
      <c r="A761" s="65"/>
      <c r="B761" s="65"/>
      <c r="C761" s="41"/>
      <c r="D761" s="41"/>
      <c r="E761" s="41"/>
      <c r="F761" s="41"/>
      <c r="G761" s="41"/>
      <c r="H761" s="8"/>
      <c r="I761" s="41"/>
      <c r="J761" s="41"/>
      <c r="K761" s="41"/>
      <c r="L761" s="41"/>
      <c r="M761" s="5"/>
      <c r="N761" s="5"/>
      <c r="O761" s="5"/>
      <c r="P761" s="5"/>
      <c r="Q761" s="5"/>
      <c r="R761" s="5"/>
      <c r="S761" s="5"/>
      <c r="T761" s="5"/>
      <c r="U761" s="5"/>
    </row>
    <row r="762">
      <c r="A762" s="65"/>
      <c r="B762" s="65"/>
      <c r="C762" s="41"/>
      <c r="D762" s="41"/>
      <c r="E762" s="41"/>
      <c r="F762" s="41"/>
      <c r="G762" s="41"/>
      <c r="H762" s="8"/>
      <c r="I762" s="41"/>
      <c r="J762" s="41"/>
      <c r="K762" s="41"/>
      <c r="L762" s="41"/>
      <c r="M762" s="5"/>
      <c r="N762" s="5"/>
      <c r="O762" s="5"/>
      <c r="P762" s="5"/>
      <c r="Q762" s="5"/>
      <c r="R762" s="5"/>
      <c r="S762" s="5"/>
      <c r="T762" s="5"/>
      <c r="U762" s="5"/>
    </row>
    <row r="763">
      <c r="A763" s="65"/>
      <c r="B763" s="65"/>
      <c r="C763" s="41"/>
      <c r="D763" s="41"/>
      <c r="E763" s="41"/>
      <c r="F763" s="41"/>
      <c r="G763" s="41"/>
      <c r="H763" s="8"/>
      <c r="I763" s="41"/>
      <c r="J763" s="41"/>
      <c r="K763" s="41"/>
      <c r="L763" s="41"/>
      <c r="M763" s="5"/>
      <c r="N763" s="5"/>
      <c r="O763" s="5"/>
      <c r="P763" s="5"/>
      <c r="Q763" s="5"/>
      <c r="R763" s="5"/>
      <c r="S763" s="5"/>
      <c r="T763" s="5"/>
      <c r="U763" s="5"/>
    </row>
    <row r="764">
      <c r="A764" s="65"/>
      <c r="B764" s="65"/>
      <c r="C764" s="41"/>
      <c r="D764" s="41"/>
      <c r="E764" s="41"/>
      <c r="F764" s="41"/>
      <c r="G764" s="41"/>
      <c r="H764" s="8"/>
      <c r="I764" s="41"/>
      <c r="J764" s="41"/>
      <c r="K764" s="41"/>
      <c r="L764" s="41"/>
      <c r="M764" s="5"/>
      <c r="N764" s="5"/>
      <c r="O764" s="5"/>
      <c r="P764" s="5"/>
      <c r="Q764" s="5"/>
      <c r="R764" s="5"/>
      <c r="S764" s="5"/>
      <c r="T764" s="5"/>
      <c r="U764" s="5"/>
    </row>
    <row r="765">
      <c r="A765" s="65"/>
      <c r="B765" s="65"/>
      <c r="C765" s="41"/>
      <c r="D765" s="41"/>
      <c r="E765" s="41"/>
      <c r="F765" s="41"/>
      <c r="G765" s="41"/>
      <c r="H765" s="8"/>
      <c r="I765" s="41"/>
      <c r="J765" s="41"/>
      <c r="K765" s="41"/>
      <c r="L765" s="41"/>
      <c r="M765" s="5"/>
      <c r="N765" s="5"/>
      <c r="O765" s="5"/>
      <c r="P765" s="5"/>
      <c r="Q765" s="5"/>
      <c r="R765" s="5"/>
      <c r="S765" s="5"/>
      <c r="T765" s="5"/>
      <c r="U765" s="5"/>
    </row>
    <row r="766">
      <c r="A766" s="65"/>
      <c r="B766" s="65"/>
      <c r="C766" s="41"/>
      <c r="D766" s="41"/>
      <c r="E766" s="41"/>
      <c r="F766" s="41"/>
      <c r="G766" s="41"/>
      <c r="H766" s="8"/>
      <c r="I766" s="41"/>
      <c r="J766" s="41"/>
      <c r="K766" s="41"/>
      <c r="L766" s="41"/>
      <c r="M766" s="5"/>
      <c r="N766" s="5"/>
      <c r="O766" s="5"/>
      <c r="P766" s="5"/>
      <c r="Q766" s="5"/>
      <c r="R766" s="5"/>
      <c r="S766" s="5"/>
      <c r="T766" s="5"/>
      <c r="U766" s="5"/>
    </row>
    <row r="767">
      <c r="A767" s="65"/>
      <c r="B767" s="65"/>
      <c r="C767" s="41"/>
      <c r="D767" s="41"/>
      <c r="E767" s="41"/>
      <c r="F767" s="41"/>
      <c r="G767" s="41"/>
      <c r="H767" s="8"/>
      <c r="I767" s="41"/>
      <c r="J767" s="41"/>
      <c r="K767" s="41"/>
      <c r="L767" s="41"/>
      <c r="M767" s="5"/>
      <c r="N767" s="5"/>
      <c r="O767" s="5"/>
      <c r="P767" s="5"/>
      <c r="Q767" s="5"/>
      <c r="R767" s="5"/>
      <c r="S767" s="5"/>
      <c r="T767" s="5"/>
      <c r="U767" s="5"/>
    </row>
    <row r="768">
      <c r="A768" s="65"/>
      <c r="B768" s="65"/>
      <c r="C768" s="41"/>
      <c r="D768" s="41"/>
      <c r="E768" s="41"/>
      <c r="F768" s="41"/>
      <c r="G768" s="41"/>
      <c r="H768" s="8"/>
      <c r="I768" s="41"/>
      <c r="J768" s="41"/>
      <c r="K768" s="41"/>
      <c r="L768" s="41"/>
      <c r="M768" s="5"/>
      <c r="N768" s="5"/>
      <c r="O768" s="5"/>
      <c r="P768" s="5"/>
      <c r="Q768" s="5"/>
      <c r="R768" s="5"/>
      <c r="S768" s="5"/>
      <c r="T768" s="5"/>
      <c r="U768" s="5"/>
    </row>
    <row r="769">
      <c r="A769" s="65"/>
      <c r="B769" s="65"/>
      <c r="C769" s="41"/>
      <c r="D769" s="41"/>
      <c r="E769" s="41"/>
      <c r="F769" s="41"/>
      <c r="G769" s="41"/>
      <c r="H769" s="8"/>
      <c r="I769" s="41"/>
      <c r="J769" s="41"/>
      <c r="K769" s="41"/>
      <c r="L769" s="41"/>
      <c r="M769" s="5"/>
      <c r="N769" s="5"/>
      <c r="O769" s="5"/>
      <c r="P769" s="5"/>
      <c r="Q769" s="5"/>
      <c r="R769" s="5"/>
      <c r="S769" s="5"/>
      <c r="T769" s="5"/>
      <c r="U769" s="5"/>
    </row>
    <row r="770">
      <c r="A770" s="65"/>
      <c r="B770" s="65"/>
      <c r="C770" s="41"/>
      <c r="D770" s="41"/>
      <c r="E770" s="41"/>
      <c r="F770" s="41"/>
      <c r="G770" s="41"/>
      <c r="H770" s="8"/>
      <c r="I770" s="41"/>
      <c r="J770" s="41"/>
      <c r="K770" s="41"/>
      <c r="L770" s="41"/>
      <c r="M770" s="5"/>
      <c r="N770" s="5"/>
      <c r="O770" s="5"/>
      <c r="P770" s="5"/>
      <c r="Q770" s="5"/>
      <c r="R770" s="5"/>
      <c r="S770" s="5"/>
      <c r="T770" s="5"/>
      <c r="U770" s="5"/>
    </row>
    <row r="771">
      <c r="A771" s="65"/>
      <c r="B771" s="65"/>
      <c r="C771" s="41"/>
      <c r="D771" s="41"/>
      <c r="E771" s="41"/>
      <c r="F771" s="41"/>
      <c r="G771" s="41"/>
      <c r="H771" s="8"/>
      <c r="I771" s="41"/>
      <c r="J771" s="41"/>
      <c r="K771" s="41"/>
      <c r="L771" s="41"/>
      <c r="M771" s="5"/>
      <c r="N771" s="5"/>
      <c r="O771" s="5"/>
      <c r="P771" s="5"/>
      <c r="Q771" s="5"/>
      <c r="R771" s="5"/>
      <c r="S771" s="5"/>
      <c r="T771" s="5"/>
      <c r="U771" s="5"/>
    </row>
    <row r="772">
      <c r="A772" s="65"/>
      <c r="B772" s="65"/>
      <c r="C772" s="41"/>
      <c r="D772" s="41"/>
      <c r="E772" s="41"/>
      <c r="F772" s="41"/>
      <c r="G772" s="41"/>
      <c r="H772" s="8"/>
      <c r="I772" s="41"/>
      <c r="J772" s="41"/>
      <c r="K772" s="41"/>
      <c r="L772" s="41"/>
      <c r="M772" s="5"/>
      <c r="N772" s="5"/>
      <c r="O772" s="5"/>
      <c r="P772" s="5"/>
      <c r="Q772" s="5"/>
      <c r="R772" s="5"/>
      <c r="S772" s="5"/>
      <c r="T772" s="5"/>
      <c r="U772" s="5"/>
    </row>
    <row r="773">
      <c r="A773" s="65"/>
      <c r="B773" s="65"/>
      <c r="C773" s="41"/>
      <c r="D773" s="41"/>
      <c r="E773" s="41"/>
      <c r="F773" s="41"/>
      <c r="G773" s="41"/>
      <c r="H773" s="8"/>
      <c r="I773" s="41"/>
      <c r="J773" s="41"/>
      <c r="K773" s="41"/>
      <c r="L773" s="41"/>
      <c r="M773" s="5"/>
      <c r="N773" s="5"/>
      <c r="O773" s="5"/>
      <c r="P773" s="5"/>
      <c r="Q773" s="5"/>
      <c r="R773" s="5"/>
      <c r="S773" s="5"/>
      <c r="T773" s="5"/>
      <c r="U773" s="5"/>
    </row>
    <row r="774">
      <c r="A774" s="65"/>
      <c r="B774" s="65"/>
      <c r="C774" s="41"/>
      <c r="D774" s="41"/>
      <c r="E774" s="41"/>
      <c r="F774" s="41"/>
      <c r="G774" s="41"/>
      <c r="H774" s="8"/>
      <c r="I774" s="41"/>
      <c r="J774" s="41"/>
      <c r="K774" s="41"/>
      <c r="L774" s="41"/>
      <c r="M774" s="5"/>
      <c r="N774" s="5"/>
      <c r="O774" s="5"/>
      <c r="P774" s="5"/>
      <c r="Q774" s="5"/>
      <c r="R774" s="5"/>
      <c r="S774" s="5"/>
      <c r="T774" s="5"/>
      <c r="U774" s="5"/>
    </row>
    <row r="775">
      <c r="A775" s="65"/>
      <c r="B775" s="65"/>
      <c r="C775" s="41"/>
      <c r="D775" s="41"/>
      <c r="E775" s="41"/>
      <c r="F775" s="41"/>
      <c r="G775" s="41"/>
      <c r="H775" s="8"/>
      <c r="I775" s="41"/>
      <c r="J775" s="41"/>
      <c r="K775" s="41"/>
      <c r="L775" s="41"/>
      <c r="M775" s="5"/>
      <c r="N775" s="5"/>
      <c r="O775" s="5"/>
      <c r="P775" s="5"/>
      <c r="Q775" s="5"/>
      <c r="R775" s="5"/>
      <c r="S775" s="5"/>
      <c r="T775" s="5"/>
      <c r="U775" s="5"/>
    </row>
    <row r="776">
      <c r="A776" s="65"/>
      <c r="B776" s="65"/>
      <c r="C776" s="41"/>
      <c r="D776" s="41"/>
      <c r="E776" s="41"/>
      <c r="F776" s="41"/>
      <c r="G776" s="41"/>
      <c r="H776" s="8"/>
      <c r="I776" s="41"/>
      <c r="J776" s="41"/>
      <c r="K776" s="41"/>
      <c r="L776" s="41"/>
      <c r="M776" s="5"/>
      <c r="N776" s="5"/>
      <c r="O776" s="5"/>
      <c r="P776" s="5"/>
      <c r="Q776" s="5"/>
      <c r="R776" s="5"/>
      <c r="S776" s="5"/>
      <c r="T776" s="5"/>
      <c r="U776" s="5"/>
    </row>
    <row r="777">
      <c r="A777" s="65"/>
      <c r="B777" s="65"/>
      <c r="C777" s="41"/>
      <c r="D777" s="41"/>
      <c r="E777" s="41"/>
      <c r="F777" s="41"/>
      <c r="G777" s="41"/>
      <c r="H777" s="8"/>
      <c r="I777" s="41"/>
      <c r="J777" s="41"/>
      <c r="K777" s="41"/>
      <c r="L777" s="41"/>
      <c r="M777" s="5"/>
      <c r="N777" s="5"/>
      <c r="O777" s="5"/>
      <c r="P777" s="5"/>
      <c r="Q777" s="5"/>
      <c r="R777" s="5"/>
      <c r="S777" s="5"/>
      <c r="T777" s="5"/>
      <c r="U777" s="5"/>
    </row>
    <row r="778">
      <c r="A778" s="65"/>
      <c r="B778" s="65"/>
      <c r="C778" s="41"/>
      <c r="D778" s="41"/>
      <c r="E778" s="41"/>
      <c r="F778" s="41"/>
      <c r="G778" s="41"/>
      <c r="H778" s="8"/>
      <c r="I778" s="41"/>
      <c r="J778" s="41"/>
      <c r="K778" s="41"/>
      <c r="L778" s="41"/>
      <c r="M778" s="5"/>
      <c r="N778" s="5"/>
      <c r="O778" s="5"/>
      <c r="P778" s="5"/>
      <c r="Q778" s="5"/>
      <c r="R778" s="5"/>
      <c r="S778" s="5"/>
      <c r="T778" s="5"/>
      <c r="U778" s="5"/>
    </row>
    <row r="779">
      <c r="A779" s="65"/>
      <c r="B779" s="65"/>
      <c r="C779" s="41"/>
      <c r="D779" s="41"/>
      <c r="E779" s="41"/>
      <c r="F779" s="41"/>
      <c r="G779" s="41"/>
      <c r="H779" s="8"/>
      <c r="I779" s="41"/>
      <c r="J779" s="41"/>
      <c r="K779" s="41"/>
      <c r="L779" s="41"/>
      <c r="M779" s="5"/>
      <c r="N779" s="5"/>
      <c r="O779" s="5"/>
      <c r="P779" s="5"/>
      <c r="Q779" s="5"/>
      <c r="R779" s="5"/>
      <c r="S779" s="5"/>
      <c r="T779" s="5"/>
      <c r="U779" s="5"/>
    </row>
    <row r="780">
      <c r="A780" s="65"/>
      <c r="B780" s="65"/>
      <c r="C780" s="41"/>
      <c r="D780" s="41"/>
      <c r="E780" s="41"/>
      <c r="F780" s="41"/>
      <c r="G780" s="41"/>
      <c r="H780" s="8"/>
      <c r="I780" s="41"/>
      <c r="J780" s="41"/>
      <c r="K780" s="41"/>
      <c r="L780" s="41"/>
      <c r="M780" s="5"/>
      <c r="N780" s="5"/>
      <c r="O780" s="5"/>
      <c r="P780" s="5"/>
      <c r="Q780" s="5"/>
      <c r="R780" s="5"/>
      <c r="S780" s="5"/>
      <c r="T780" s="5"/>
      <c r="U780" s="5"/>
    </row>
    <row r="781">
      <c r="A781" s="65"/>
      <c r="B781" s="65"/>
      <c r="C781" s="41"/>
      <c r="D781" s="41"/>
      <c r="E781" s="41"/>
      <c r="F781" s="41"/>
      <c r="G781" s="41"/>
      <c r="H781" s="8"/>
      <c r="I781" s="41"/>
      <c r="J781" s="41"/>
      <c r="K781" s="41"/>
      <c r="L781" s="41"/>
      <c r="M781" s="5"/>
      <c r="N781" s="5"/>
      <c r="O781" s="5"/>
      <c r="P781" s="5"/>
      <c r="Q781" s="5"/>
      <c r="R781" s="5"/>
      <c r="S781" s="5"/>
      <c r="T781" s="5"/>
      <c r="U781" s="5"/>
    </row>
    <row r="782">
      <c r="A782" s="65"/>
      <c r="B782" s="65"/>
      <c r="C782" s="41"/>
      <c r="D782" s="41"/>
      <c r="E782" s="41"/>
      <c r="F782" s="41"/>
      <c r="G782" s="41"/>
      <c r="H782" s="8"/>
      <c r="I782" s="41"/>
      <c r="J782" s="41"/>
      <c r="K782" s="41"/>
      <c r="L782" s="41"/>
      <c r="M782" s="5"/>
      <c r="N782" s="5"/>
      <c r="O782" s="5"/>
      <c r="P782" s="5"/>
      <c r="Q782" s="5"/>
      <c r="R782" s="5"/>
      <c r="S782" s="5"/>
      <c r="T782" s="5"/>
      <c r="U782" s="5"/>
    </row>
    <row r="783">
      <c r="A783" s="65"/>
      <c r="B783" s="65"/>
      <c r="C783" s="41"/>
      <c r="D783" s="41"/>
      <c r="E783" s="41"/>
      <c r="F783" s="41"/>
      <c r="G783" s="41"/>
      <c r="H783" s="8"/>
      <c r="I783" s="41"/>
      <c r="J783" s="41"/>
      <c r="K783" s="41"/>
      <c r="L783" s="41"/>
      <c r="M783" s="5"/>
      <c r="N783" s="5"/>
      <c r="O783" s="5"/>
      <c r="P783" s="5"/>
      <c r="Q783" s="5"/>
      <c r="R783" s="5"/>
      <c r="S783" s="5"/>
      <c r="T783" s="5"/>
      <c r="U783" s="5"/>
    </row>
    <row r="784">
      <c r="A784" s="65"/>
      <c r="B784" s="65"/>
      <c r="C784" s="41"/>
      <c r="D784" s="41"/>
      <c r="E784" s="41"/>
      <c r="F784" s="41"/>
      <c r="G784" s="41"/>
      <c r="H784" s="8"/>
      <c r="I784" s="41"/>
      <c r="J784" s="41"/>
      <c r="K784" s="41"/>
      <c r="L784" s="41"/>
      <c r="M784" s="5"/>
      <c r="N784" s="5"/>
      <c r="O784" s="5"/>
      <c r="P784" s="5"/>
      <c r="Q784" s="5"/>
      <c r="R784" s="5"/>
      <c r="S784" s="5"/>
      <c r="T784" s="5"/>
      <c r="U784" s="5"/>
    </row>
    <row r="785">
      <c r="A785" s="65"/>
      <c r="B785" s="65"/>
      <c r="C785" s="41"/>
      <c r="D785" s="41"/>
      <c r="E785" s="41"/>
      <c r="F785" s="41"/>
      <c r="G785" s="41"/>
      <c r="H785" s="8"/>
      <c r="I785" s="41"/>
      <c r="J785" s="41"/>
      <c r="K785" s="41"/>
      <c r="L785" s="41"/>
      <c r="M785" s="5"/>
      <c r="N785" s="5"/>
      <c r="O785" s="5"/>
      <c r="P785" s="5"/>
      <c r="Q785" s="5"/>
      <c r="R785" s="5"/>
      <c r="S785" s="5"/>
      <c r="T785" s="5"/>
      <c r="U785" s="5"/>
    </row>
    <row r="786">
      <c r="A786" s="65"/>
      <c r="B786" s="65"/>
      <c r="C786" s="41"/>
      <c r="D786" s="41"/>
      <c r="E786" s="41"/>
      <c r="F786" s="41"/>
      <c r="G786" s="41"/>
      <c r="H786" s="8"/>
      <c r="I786" s="41"/>
      <c r="J786" s="41"/>
      <c r="K786" s="41"/>
      <c r="L786" s="41"/>
      <c r="M786" s="5"/>
      <c r="N786" s="5"/>
      <c r="O786" s="5"/>
      <c r="P786" s="5"/>
      <c r="Q786" s="5"/>
      <c r="R786" s="5"/>
      <c r="S786" s="5"/>
      <c r="T786" s="5"/>
      <c r="U786" s="5"/>
    </row>
    <row r="787">
      <c r="A787" s="65"/>
      <c r="B787" s="65"/>
      <c r="C787" s="41"/>
      <c r="D787" s="41"/>
      <c r="E787" s="41"/>
      <c r="F787" s="41"/>
      <c r="G787" s="41"/>
      <c r="H787" s="8"/>
      <c r="I787" s="41"/>
      <c r="J787" s="41"/>
      <c r="K787" s="41"/>
      <c r="L787" s="41"/>
      <c r="M787" s="5"/>
      <c r="N787" s="5"/>
      <c r="O787" s="5"/>
      <c r="P787" s="5"/>
      <c r="Q787" s="5"/>
      <c r="R787" s="5"/>
      <c r="S787" s="5"/>
      <c r="T787" s="5"/>
      <c r="U787" s="5"/>
    </row>
    <row r="788">
      <c r="A788" s="65"/>
      <c r="B788" s="65"/>
      <c r="C788" s="41"/>
      <c r="D788" s="41"/>
      <c r="E788" s="41"/>
      <c r="F788" s="41"/>
      <c r="G788" s="41"/>
      <c r="H788" s="8"/>
      <c r="I788" s="41"/>
      <c r="J788" s="41"/>
      <c r="K788" s="41"/>
      <c r="L788" s="41"/>
      <c r="M788" s="5"/>
      <c r="N788" s="5"/>
      <c r="O788" s="5"/>
      <c r="P788" s="5"/>
      <c r="Q788" s="5"/>
      <c r="R788" s="5"/>
      <c r="S788" s="5"/>
      <c r="T788" s="5"/>
      <c r="U788" s="5"/>
    </row>
    <row r="789">
      <c r="A789" s="65"/>
      <c r="B789" s="65"/>
      <c r="C789" s="41"/>
      <c r="D789" s="41"/>
      <c r="E789" s="41"/>
      <c r="F789" s="41"/>
      <c r="G789" s="41"/>
      <c r="H789" s="8"/>
      <c r="I789" s="41"/>
      <c r="J789" s="41"/>
      <c r="K789" s="41"/>
      <c r="L789" s="41"/>
      <c r="M789" s="5"/>
      <c r="N789" s="5"/>
      <c r="O789" s="5"/>
      <c r="P789" s="5"/>
      <c r="Q789" s="5"/>
      <c r="R789" s="5"/>
      <c r="S789" s="5"/>
      <c r="T789" s="5"/>
      <c r="U789" s="5"/>
    </row>
    <row r="790">
      <c r="A790" s="65"/>
      <c r="B790" s="65"/>
      <c r="C790" s="41"/>
      <c r="D790" s="41"/>
      <c r="E790" s="41"/>
      <c r="F790" s="41"/>
      <c r="G790" s="41"/>
      <c r="H790" s="8"/>
      <c r="I790" s="41"/>
      <c r="J790" s="41"/>
      <c r="K790" s="41"/>
      <c r="L790" s="41"/>
      <c r="M790" s="5"/>
      <c r="N790" s="5"/>
      <c r="O790" s="5"/>
      <c r="P790" s="5"/>
      <c r="Q790" s="5"/>
      <c r="R790" s="5"/>
      <c r="S790" s="5"/>
      <c r="T790" s="5"/>
      <c r="U790" s="5"/>
    </row>
    <row r="791">
      <c r="A791" s="65"/>
      <c r="B791" s="65"/>
      <c r="C791" s="41"/>
      <c r="D791" s="41"/>
      <c r="E791" s="41"/>
      <c r="F791" s="41"/>
      <c r="G791" s="41"/>
      <c r="H791" s="8"/>
      <c r="I791" s="41"/>
      <c r="J791" s="41"/>
      <c r="K791" s="41"/>
      <c r="L791" s="41"/>
      <c r="M791" s="5"/>
      <c r="N791" s="5"/>
      <c r="O791" s="5"/>
      <c r="P791" s="5"/>
      <c r="Q791" s="5"/>
      <c r="R791" s="5"/>
      <c r="S791" s="5"/>
      <c r="T791" s="5"/>
      <c r="U791" s="5"/>
    </row>
    <row r="792">
      <c r="A792" s="65"/>
      <c r="B792" s="65"/>
      <c r="C792" s="41"/>
      <c r="D792" s="41"/>
      <c r="E792" s="41"/>
      <c r="F792" s="41"/>
      <c r="G792" s="41"/>
      <c r="H792" s="8"/>
      <c r="I792" s="41"/>
      <c r="J792" s="41"/>
      <c r="K792" s="41"/>
      <c r="L792" s="41"/>
      <c r="M792" s="5"/>
      <c r="N792" s="5"/>
      <c r="O792" s="5"/>
      <c r="P792" s="5"/>
      <c r="Q792" s="5"/>
      <c r="R792" s="5"/>
      <c r="S792" s="5"/>
      <c r="T792" s="5"/>
      <c r="U792" s="5"/>
    </row>
    <row r="793">
      <c r="A793" s="65"/>
      <c r="B793" s="65"/>
      <c r="C793" s="41"/>
      <c r="D793" s="41"/>
      <c r="E793" s="41"/>
      <c r="F793" s="41"/>
      <c r="G793" s="41"/>
      <c r="H793" s="8"/>
      <c r="I793" s="41"/>
      <c r="J793" s="41"/>
      <c r="K793" s="41"/>
      <c r="L793" s="41"/>
      <c r="M793" s="5"/>
      <c r="N793" s="5"/>
      <c r="O793" s="5"/>
      <c r="P793" s="5"/>
      <c r="Q793" s="5"/>
      <c r="R793" s="5"/>
      <c r="S793" s="5"/>
      <c r="T793" s="5"/>
      <c r="U793" s="5"/>
    </row>
    <row r="794">
      <c r="A794" s="65"/>
      <c r="B794" s="65"/>
      <c r="C794" s="41"/>
      <c r="D794" s="41"/>
      <c r="E794" s="41"/>
      <c r="F794" s="41"/>
      <c r="G794" s="41"/>
      <c r="H794" s="8"/>
      <c r="I794" s="41"/>
      <c r="J794" s="41"/>
      <c r="K794" s="41"/>
      <c r="L794" s="41"/>
      <c r="M794" s="5"/>
      <c r="N794" s="5"/>
      <c r="O794" s="5"/>
      <c r="P794" s="5"/>
      <c r="Q794" s="5"/>
      <c r="R794" s="5"/>
      <c r="S794" s="5"/>
      <c r="T794" s="5"/>
      <c r="U794" s="5"/>
    </row>
    <row r="795">
      <c r="A795" s="65"/>
      <c r="B795" s="65"/>
      <c r="C795" s="41"/>
      <c r="D795" s="41"/>
      <c r="E795" s="41"/>
      <c r="F795" s="41"/>
      <c r="G795" s="41"/>
      <c r="H795" s="8"/>
      <c r="I795" s="41"/>
      <c r="J795" s="41"/>
      <c r="K795" s="41"/>
      <c r="L795" s="41"/>
      <c r="M795" s="5"/>
      <c r="N795" s="5"/>
      <c r="O795" s="5"/>
      <c r="P795" s="5"/>
      <c r="Q795" s="5"/>
      <c r="R795" s="5"/>
      <c r="S795" s="5"/>
      <c r="T795" s="5"/>
      <c r="U795" s="5"/>
    </row>
    <row r="796">
      <c r="A796" s="65"/>
      <c r="B796" s="65"/>
      <c r="C796" s="41"/>
      <c r="D796" s="41"/>
      <c r="E796" s="41"/>
      <c r="F796" s="41"/>
      <c r="G796" s="41"/>
      <c r="H796" s="8"/>
      <c r="I796" s="41"/>
      <c r="J796" s="41"/>
      <c r="K796" s="41"/>
      <c r="L796" s="41"/>
      <c r="M796" s="5"/>
      <c r="N796" s="5"/>
      <c r="O796" s="5"/>
      <c r="P796" s="5"/>
      <c r="Q796" s="5"/>
      <c r="R796" s="5"/>
      <c r="S796" s="5"/>
      <c r="T796" s="5"/>
      <c r="U796" s="5"/>
    </row>
    <row r="797">
      <c r="A797" s="65"/>
      <c r="B797" s="65"/>
      <c r="C797" s="41"/>
      <c r="D797" s="41"/>
      <c r="E797" s="41"/>
      <c r="F797" s="41"/>
      <c r="G797" s="41"/>
      <c r="H797" s="8"/>
      <c r="I797" s="41"/>
      <c r="J797" s="41"/>
      <c r="K797" s="41"/>
      <c r="L797" s="41"/>
      <c r="M797" s="5"/>
      <c r="N797" s="5"/>
      <c r="O797" s="5"/>
      <c r="P797" s="5"/>
      <c r="Q797" s="5"/>
      <c r="R797" s="5"/>
      <c r="S797" s="5"/>
      <c r="T797" s="5"/>
      <c r="U797" s="5"/>
    </row>
    <row r="798">
      <c r="A798" s="65"/>
      <c r="B798" s="65"/>
      <c r="C798" s="41"/>
      <c r="D798" s="41"/>
      <c r="E798" s="41"/>
      <c r="F798" s="41"/>
      <c r="G798" s="41"/>
      <c r="H798" s="8"/>
      <c r="I798" s="41"/>
      <c r="J798" s="41"/>
      <c r="K798" s="41"/>
      <c r="L798" s="41"/>
      <c r="M798" s="5"/>
      <c r="N798" s="5"/>
      <c r="O798" s="5"/>
      <c r="P798" s="5"/>
      <c r="Q798" s="5"/>
      <c r="R798" s="5"/>
      <c r="S798" s="5"/>
      <c r="T798" s="5"/>
      <c r="U798" s="5"/>
    </row>
    <row r="799">
      <c r="A799" s="65"/>
      <c r="B799" s="65"/>
      <c r="C799" s="41"/>
      <c r="D799" s="41"/>
      <c r="E799" s="41"/>
      <c r="F799" s="41"/>
      <c r="G799" s="41"/>
      <c r="H799" s="8"/>
      <c r="I799" s="41"/>
      <c r="J799" s="41"/>
      <c r="K799" s="41"/>
      <c r="L799" s="41"/>
      <c r="M799" s="5"/>
      <c r="N799" s="5"/>
      <c r="O799" s="5"/>
      <c r="P799" s="5"/>
      <c r="Q799" s="5"/>
      <c r="R799" s="5"/>
      <c r="S799" s="5"/>
      <c r="T799" s="5"/>
      <c r="U799" s="5"/>
    </row>
    <row r="800">
      <c r="A800" s="65"/>
      <c r="B800" s="65"/>
      <c r="C800" s="41"/>
      <c r="D800" s="41"/>
      <c r="E800" s="41"/>
      <c r="F800" s="41"/>
      <c r="G800" s="41"/>
      <c r="H800" s="8"/>
      <c r="I800" s="41"/>
      <c r="J800" s="41"/>
      <c r="K800" s="41"/>
      <c r="L800" s="41"/>
      <c r="M800" s="5"/>
      <c r="N800" s="5"/>
      <c r="O800" s="5"/>
      <c r="P800" s="5"/>
      <c r="Q800" s="5"/>
      <c r="R800" s="5"/>
      <c r="S800" s="5"/>
      <c r="T800" s="5"/>
      <c r="U800" s="5"/>
    </row>
    <row r="801">
      <c r="A801" s="65"/>
      <c r="B801" s="65"/>
      <c r="C801" s="41"/>
      <c r="D801" s="41"/>
      <c r="E801" s="41"/>
      <c r="F801" s="41"/>
      <c r="G801" s="41"/>
      <c r="H801" s="8"/>
      <c r="I801" s="41"/>
      <c r="J801" s="41"/>
      <c r="K801" s="41"/>
      <c r="L801" s="41"/>
      <c r="M801" s="5"/>
      <c r="N801" s="5"/>
      <c r="O801" s="5"/>
      <c r="P801" s="5"/>
      <c r="Q801" s="5"/>
      <c r="R801" s="5"/>
      <c r="S801" s="5"/>
      <c r="T801" s="5"/>
      <c r="U801" s="5"/>
    </row>
    <row r="802">
      <c r="A802" s="65"/>
      <c r="B802" s="65"/>
      <c r="C802" s="41"/>
      <c r="D802" s="41"/>
      <c r="E802" s="41"/>
      <c r="F802" s="41"/>
      <c r="G802" s="41"/>
      <c r="H802" s="8"/>
      <c r="I802" s="41"/>
      <c r="J802" s="41"/>
      <c r="K802" s="41"/>
      <c r="L802" s="41"/>
      <c r="M802" s="2"/>
      <c r="N802" s="2"/>
      <c r="O802" s="2"/>
      <c r="P802" s="2"/>
      <c r="Q802" s="2"/>
      <c r="R802" s="2"/>
      <c r="S802" s="2"/>
      <c r="T802" s="2"/>
      <c r="U802" s="2"/>
    </row>
    <row r="803">
      <c r="A803" s="65"/>
      <c r="B803" s="65"/>
      <c r="C803" s="41"/>
      <c r="D803" s="41"/>
      <c r="E803" s="41"/>
      <c r="F803" s="41"/>
      <c r="G803" s="41"/>
      <c r="H803" s="8"/>
      <c r="I803" s="41"/>
      <c r="J803" s="41"/>
      <c r="K803" s="41"/>
      <c r="L803" s="41"/>
      <c r="M803" s="2"/>
      <c r="N803" s="2"/>
      <c r="O803" s="2"/>
      <c r="P803" s="2"/>
      <c r="Q803" s="2"/>
      <c r="R803" s="2"/>
      <c r="S803" s="2"/>
      <c r="T803" s="2"/>
      <c r="U803" s="2"/>
    </row>
    <row r="804">
      <c r="A804" s="65"/>
      <c r="B804" s="65"/>
      <c r="C804" s="41"/>
      <c r="D804" s="41"/>
      <c r="E804" s="41"/>
      <c r="F804" s="41"/>
      <c r="G804" s="41"/>
      <c r="H804" s="8"/>
      <c r="I804" s="41"/>
      <c r="J804" s="41"/>
      <c r="K804" s="41"/>
      <c r="L804" s="41"/>
      <c r="M804" s="2"/>
      <c r="N804" s="2"/>
      <c r="O804" s="2"/>
      <c r="P804" s="2"/>
      <c r="Q804" s="2"/>
      <c r="R804" s="2"/>
      <c r="S804" s="2"/>
      <c r="T804" s="2"/>
      <c r="U804" s="2"/>
    </row>
    <row r="805">
      <c r="A805" s="65"/>
      <c r="B805" s="65"/>
      <c r="C805" s="41"/>
      <c r="D805" s="41"/>
      <c r="E805" s="41"/>
      <c r="F805" s="41"/>
      <c r="G805" s="41"/>
      <c r="H805" s="8"/>
      <c r="I805" s="41"/>
      <c r="J805" s="41"/>
      <c r="K805" s="41"/>
      <c r="L805" s="41"/>
      <c r="M805" s="2"/>
      <c r="N805" s="2"/>
      <c r="O805" s="2"/>
      <c r="P805" s="2"/>
      <c r="Q805" s="2"/>
      <c r="R805" s="2"/>
      <c r="S805" s="2"/>
      <c r="T805" s="2"/>
      <c r="U805" s="2"/>
    </row>
    <row r="806">
      <c r="A806" s="65"/>
      <c r="B806" s="65"/>
      <c r="C806" s="41"/>
      <c r="D806" s="41"/>
      <c r="E806" s="41"/>
      <c r="F806" s="41"/>
      <c r="G806" s="41"/>
      <c r="H806" s="8"/>
      <c r="I806" s="41"/>
      <c r="J806" s="41"/>
      <c r="K806" s="41"/>
      <c r="L806" s="41"/>
      <c r="M806" s="2"/>
      <c r="N806" s="2"/>
      <c r="O806" s="2"/>
      <c r="P806" s="2"/>
      <c r="Q806" s="2"/>
      <c r="R806" s="2"/>
      <c r="S806" s="2"/>
      <c r="T806" s="2"/>
      <c r="U806" s="2"/>
    </row>
    <row r="807">
      <c r="A807" s="65"/>
      <c r="B807" s="65"/>
      <c r="C807" s="41"/>
      <c r="D807" s="41"/>
      <c r="E807" s="41"/>
      <c r="F807" s="41"/>
      <c r="G807" s="41"/>
      <c r="H807" s="8"/>
      <c r="I807" s="41"/>
      <c r="J807" s="41"/>
      <c r="K807" s="41"/>
      <c r="L807" s="41"/>
      <c r="M807" s="2"/>
      <c r="N807" s="2"/>
      <c r="O807" s="2"/>
      <c r="P807" s="2"/>
      <c r="Q807" s="2"/>
      <c r="R807" s="2"/>
      <c r="S807" s="2"/>
      <c r="T807" s="2"/>
      <c r="U807" s="2"/>
    </row>
    <row r="808">
      <c r="A808" s="65"/>
      <c r="B808" s="65"/>
      <c r="C808" s="41"/>
      <c r="D808" s="41"/>
      <c r="E808" s="41"/>
      <c r="F808" s="41"/>
      <c r="G808" s="41"/>
      <c r="H808" s="8"/>
      <c r="I808" s="41"/>
      <c r="J808" s="41"/>
      <c r="K808" s="41"/>
      <c r="L808" s="41"/>
      <c r="M808" s="2"/>
      <c r="N808" s="2"/>
      <c r="O808" s="2"/>
      <c r="P808" s="2"/>
      <c r="Q808" s="2"/>
      <c r="R808" s="2"/>
      <c r="S808" s="2"/>
      <c r="T808" s="2"/>
      <c r="U808" s="2"/>
    </row>
    <row r="809">
      <c r="A809" s="65"/>
      <c r="B809" s="65"/>
      <c r="C809" s="41"/>
      <c r="D809" s="41"/>
      <c r="E809" s="41"/>
      <c r="F809" s="41"/>
      <c r="G809" s="41"/>
      <c r="H809" s="8"/>
      <c r="I809" s="41"/>
      <c r="J809" s="41"/>
      <c r="K809" s="41"/>
      <c r="L809" s="41"/>
      <c r="M809" s="2"/>
      <c r="N809" s="2"/>
      <c r="O809" s="2"/>
      <c r="P809" s="2"/>
      <c r="Q809" s="2"/>
      <c r="R809" s="2"/>
      <c r="S809" s="2"/>
      <c r="T809" s="2"/>
      <c r="U809" s="2"/>
    </row>
    <row r="810">
      <c r="A810" s="65"/>
      <c r="B810" s="65"/>
      <c r="C810" s="41"/>
      <c r="D810" s="41"/>
      <c r="E810" s="41"/>
      <c r="F810" s="41"/>
      <c r="G810" s="41"/>
      <c r="H810" s="8"/>
      <c r="I810" s="41"/>
      <c r="J810" s="41"/>
      <c r="K810" s="41"/>
      <c r="L810" s="41"/>
      <c r="M810" s="2"/>
      <c r="N810" s="2"/>
      <c r="O810" s="2"/>
      <c r="P810" s="2"/>
      <c r="Q810" s="2"/>
      <c r="R810" s="2"/>
      <c r="S810" s="2"/>
      <c r="T810" s="2"/>
      <c r="U810" s="2"/>
    </row>
    <row r="811">
      <c r="A811" s="65"/>
      <c r="B811" s="65"/>
      <c r="C811" s="41"/>
      <c r="D811" s="41"/>
      <c r="E811" s="41"/>
      <c r="F811" s="41"/>
      <c r="G811" s="41"/>
      <c r="H811" s="8"/>
      <c r="I811" s="41"/>
      <c r="J811" s="41"/>
      <c r="K811" s="41"/>
      <c r="L811" s="41"/>
      <c r="M811" s="2"/>
      <c r="N811" s="2"/>
      <c r="O811" s="2"/>
      <c r="P811" s="2"/>
      <c r="Q811" s="2"/>
      <c r="R811" s="2"/>
      <c r="S811" s="2"/>
      <c r="T811" s="2"/>
      <c r="U811" s="2"/>
    </row>
    <row r="812">
      <c r="A812" s="65"/>
      <c r="B812" s="65"/>
      <c r="C812" s="41"/>
      <c r="D812" s="41"/>
      <c r="E812" s="41"/>
      <c r="F812" s="41"/>
      <c r="G812" s="41"/>
      <c r="H812" s="8"/>
      <c r="I812" s="41"/>
      <c r="J812" s="41"/>
      <c r="K812" s="41"/>
      <c r="L812" s="41"/>
      <c r="M812" s="2"/>
      <c r="N812" s="2"/>
      <c r="O812" s="2"/>
      <c r="P812" s="2"/>
      <c r="Q812" s="2"/>
      <c r="R812" s="2"/>
      <c r="S812" s="2"/>
      <c r="T812" s="2"/>
      <c r="U812" s="2"/>
    </row>
    <row r="813">
      <c r="A813" s="65"/>
      <c r="B813" s="65"/>
      <c r="C813" s="41"/>
      <c r="D813" s="41"/>
      <c r="E813" s="41"/>
      <c r="F813" s="41"/>
      <c r="G813" s="41"/>
      <c r="H813" s="8"/>
      <c r="I813" s="41"/>
      <c r="J813" s="41"/>
      <c r="K813" s="41"/>
      <c r="L813" s="41"/>
      <c r="M813" s="2"/>
      <c r="N813" s="2"/>
      <c r="O813" s="2"/>
      <c r="P813" s="2"/>
      <c r="Q813" s="2"/>
      <c r="R813" s="2"/>
      <c r="S813" s="2"/>
      <c r="T813" s="2"/>
      <c r="U813" s="2"/>
    </row>
    <row r="814">
      <c r="A814" s="65"/>
      <c r="B814" s="65"/>
      <c r="C814" s="41"/>
      <c r="D814" s="41"/>
      <c r="E814" s="41"/>
      <c r="F814" s="41"/>
      <c r="G814" s="41"/>
      <c r="H814" s="8"/>
      <c r="I814" s="41"/>
      <c r="J814" s="41"/>
      <c r="K814" s="41"/>
      <c r="L814" s="41"/>
      <c r="M814" s="2"/>
      <c r="N814" s="2"/>
      <c r="O814" s="2"/>
      <c r="P814" s="2"/>
      <c r="Q814" s="2"/>
      <c r="R814" s="2"/>
      <c r="S814" s="2"/>
      <c r="T814" s="2"/>
      <c r="U814" s="2"/>
    </row>
    <row r="815">
      <c r="A815" s="65"/>
      <c r="B815" s="65"/>
      <c r="C815" s="41"/>
      <c r="D815" s="41"/>
      <c r="E815" s="41"/>
      <c r="F815" s="41"/>
      <c r="G815" s="41"/>
      <c r="H815" s="8"/>
      <c r="I815" s="41"/>
      <c r="J815" s="41"/>
      <c r="K815" s="41"/>
      <c r="L815" s="41"/>
      <c r="M815" s="2"/>
      <c r="N815" s="2"/>
      <c r="O815" s="2"/>
      <c r="P815" s="2"/>
      <c r="Q815" s="2"/>
      <c r="R815" s="2"/>
      <c r="S815" s="2"/>
      <c r="T815" s="2"/>
      <c r="U815" s="2"/>
    </row>
    <row r="816">
      <c r="A816" s="65"/>
      <c r="B816" s="65"/>
      <c r="C816" s="41"/>
      <c r="D816" s="41"/>
      <c r="E816" s="41"/>
      <c r="F816" s="41"/>
      <c r="G816" s="41"/>
      <c r="H816" s="8"/>
      <c r="I816" s="41"/>
      <c r="J816" s="41"/>
      <c r="K816" s="41"/>
      <c r="L816" s="41"/>
      <c r="M816" s="2"/>
      <c r="N816" s="2"/>
      <c r="O816" s="2"/>
      <c r="P816" s="2"/>
      <c r="Q816" s="2"/>
      <c r="R816" s="2"/>
      <c r="S816" s="2"/>
      <c r="T816" s="2"/>
      <c r="U816" s="2"/>
    </row>
    <row r="817">
      <c r="A817" s="65"/>
      <c r="B817" s="65"/>
      <c r="C817" s="41"/>
      <c r="D817" s="41"/>
      <c r="E817" s="41"/>
      <c r="F817" s="41"/>
      <c r="G817" s="41"/>
      <c r="H817" s="8"/>
      <c r="I817" s="41"/>
      <c r="J817" s="41"/>
      <c r="K817" s="41"/>
      <c r="L817" s="41"/>
      <c r="M817" s="2"/>
      <c r="N817" s="2"/>
      <c r="O817" s="2"/>
      <c r="P817" s="2"/>
      <c r="Q817" s="2"/>
      <c r="R817" s="2"/>
      <c r="S817" s="2"/>
      <c r="T817" s="2"/>
      <c r="U817" s="2"/>
    </row>
    <row r="818">
      <c r="A818" s="65"/>
      <c r="B818" s="65"/>
      <c r="C818" s="41"/>
      <c r="D818" s="41"/>
      <c r="E818" s="41"/>
      <c r="F818" s="41"/>
      <c r="G818" s="41"/>
      <c r="H818" s="8"/>
      <c r="I818" s="41"/>
      <c r="J818" s="41"/>
      <c r="K818" s="41"/>
      <c r="L818" s="41"/>
      <c r="M818" s="2"/>
      <c r="N818" s="2"/>
      <c r="O818" s="2"/>
      <c r="P818" s="2"/>
      <c r="Q818" s="2"/>
      <c r="R818" s="2"/>
      <c r="S818" s="2"/>
      <c r="T818" s="2"/>
      <c r="U818" s="2"/>
    </row>
    <row r="819">
      <c r="A819" s="65"/>
      <c r="B819" s="65"/>
      <c r="C819" s="41"/>
      <c r="D819" s="41"/>
      <c r="E819" s="41"/>
      <c r="F819" s="41"/>
      <c r="G819" s="41"/>
      <c r="H819" s="8"/>
      <c r="I819" s="41"/>
      <c r="J819" s="41"/>
      <c r="K819" s="41"/>
      <c r="L819" s="41"/>
      <c r="M819" s="2"/>
      <c r="N819" s="2"/>
      <c r="O819" s="2"/>
      <c r="P819" s="2"/>
      <c r="Q819" s="2"/>
      <c r="R819" s="2"/>
      <c r="S819" s="2"/>
      <c r="T819" s="2"/>
      <c r="U819" s="2"/>
    </row>
    <row r="820">
      <c r="A820" s="65"/>
      <c r="B820" s="65"/>
      <c r="C820" s="41"/>
      <c r="D820" s="41"/>
      <c r="E820" s="41"/>
      <c r="F820" s="41"/>
      <c r="G820" s="41"/>
      <c r="H820" s="8"/>
      <c r="I820" s="41"/>
      <c r="J820" s="41"/>
      <c r="K820" s="41"/>
      <c r="L820" s="41"/>
      <c r="M820" s="2"/>
      <c r="N820" s="2"/>
      <c r="O820" s="2"/>
      <c r="P820" s="2"/>
      <c r="Q820" s="2"/>
      <c r="R820" s="2"/>
      <c r="S820" s="2"/>
      <c r="T820" s="2"/>
      <c r="U820" s="2"/>
    </row>
    <row r="821">
      <c r="A821" s="65"/>
      <c r="B821" s="65"/>
      <c r="C821" s="41"/>
      <c r="D821" s="41"/>
      <c r="E821" s="41"/>
      <c r="F821" s="41"/>
      <c r="G821" s="41"/>
      <c r="H821" s="8"/>
      <c r="I821" s="41"/>
      <c r="J821" s="41"/>
      <c r="K821" s="41"/>
      <c r="L821" s="41"/>
      <c r="M821" s="2" t="s">
        <f>SUM(#REF!,#REF!)</f>
        <v>2135</v>
      </c>
      <c r="N821" s="2"/>
      <c r="O821" s="2"/>
      <c r="P821" s="2"/>
      <c r="Q821" s="2"/>
      <c r="R821" s="2"/>
      <c r="S821" s="2"/>
      <c r="T821" s="2"/>
      <c r="U821" s="2"/>
    </row>
    <row r="822">
      <c r="A822" s="65"/>
      <c r="B822" s="65"/>
      <c r="C822" s="41"/>
      <c r="D822" s="41"/>
      <c r="E822" s="41"/>
      <c r="F822" s="41"/>
      <c r="G822" s="41"/>
      <c r="H822" s="8"/>
      <c r="I822" s="41"/>
      <c r="J822" s="41"/>
      <c r="K822" s="41"/>
      <c r="L822" s="41"/>
      <c r="M822" s="2"/>
      <c r="N822" s="2"/>
      <c r="O822" s="2"/>
      <c r="P822" s="2"/>
      <c r="Q822" s="2"/>
      <c r="R822" s="2"/>
      <c r="S822" s="2"/>
      <c r="T822" s="2"/>
      <c r="U822" s="2"/>
    </row>
    <row r="823">
      <c r="A823" s="65"/>
      <c r="B823" s="65"/>
      <c r="C823" s="41"/>
      <c r="D823" s="41"/>
      <c r="E823" s="41"/>
      <c r="F823" s="41"/>
      <c r="G823" s="41"/>
      <c r="H823" s="8"/>
      <c r="I823" s="41"/>
      <c r="J823" s="41"/>
      <c r="K823" s="41"/>
      <c r="L823" s="41"/>
      <c r="M823" s="2"/>
      <c r="N823" s="2"/>
      <c r="O823" s="2"/>
      <c r="P823" s="2"/>
      <c r="Q823" s="2"/>
      <c r="R823" s="2"/>
      <c r="S823" s="2"/>
      <c r="T823" s="2"/>
      <c r="U823" s="2"/>
    </row>
    <row r="824">
      <c r="A824" s="65"/>
      <c r="B824" s="65"/>
      <c r="C824" s="41"/>
      <c r="D824" s="41"/>
      <c r="E824" s="41"/>
      <c r="F824" s="41"/>
      <c r="G824" s="41"/>
      <c r="H824" s="8"/>
      <c r="I824" s="41"/>
      <c r="J824" s="41"/>
      <c r="K824" s="41"/>
      <c r="L824" s="41"/>
      <c r="M824" s="2"/>
      <c r="N824" s="2"/>
      <c r="O824" s="2"/>
      <c r="P824" s="2"/>
      <c r="Q824" s="2"/>
      <c r="R824" s="2"/>
      <c r="S824" s="2"/>
      <c r="T824" s="2"/>
      <c r="U824" s="2"/>
    </row>
    <row r="825">
      <c r="A825" s="65"/>
      <c r="B825" s="65"/>
      <c r="C825" s="41"/>
      <c r="D825" s="41"/>
      <c r="E825" s="41"/>
      <c r="F825" s="41"/>
      <c r="G825" s="41"/>
      <c r="H825" s="8"/>
      <c r="I825" s="41"/>
      <c r="J825" s="41"/>
      <c r="K825" s="41"/>
      <c r="L825" s="41"/>
      <c r="M825" s="2"/>
      <c r="N825" s="2"/>
      <c r="O825" s="2"/>
      <c r="P825" s="2"/>
      <c r="Q825" s="2"/>
      <c r="R825" s="2"/>
      <c r="S825" s="2"/>
      <c r="T825" s="2"/>
      <c r="U825" s="2"/>
    </row>
    <row r="826">
      <c r="A826" s="65"/>
      <c r="B826" s="65"/>
      <c r="C826" s="41"/>
      <c r="D826" s="41"/>
      <c r="E826" s="41"/>
      <c r="F826" s="41"/>
      <c r="G826" s="41"/>
      <c r="H826" s="8"/>
      <c r="I826" s="41"/>
      <c r="J826" s="41"/>
      <c r="K826" s="41"/>
      <c r="L826" s="41"/>
      <c r="M826" s="2"/>
      <c r="N826" s="2"/>
      <c r="O826" s="2"/>
      <c r="P826" s="2"/>
      <c r="Q826" s="2"/>
      <c r="R826" s="2"/>
      <c r="S826" s="2"/>
      <c r="T826" s="2"/>
      <c r="U826" s="2"/>
    </row>
    <row r="827">
      <c r="A827" s="65"/>
      <c r="B827" s="65"/>
      <c r="C827" s="41"/>
      <c r="D827" s="41"/>
      <c r="E827" s="41"/>
      <c r="F827" s="41"/>
      <c r="G827" s="41"/>
      <c r="H827" s="8"/>
      <c r="I827" s="41"/>
      <c r="J827" s="41"/>
      <c r="K827" s="41"/>
      <c r="L827" s="41"/>
      <c r="M827" s="2"/>
      <c r="N827" s="2"/>
      <c r="O827" s="2"/>
      <c r="P827" s="2"/>
      <c r="Q827" s="2"/>
      <c r="R827" s="2"/>
      <c r="S827" s="2"/>
      <c r="T827" s="2"/>
      <c r="U827" s="2"/>
    </row>
    <row r="828">
      <c r="A828" s="65"/>
      <c r="B828" s="65"/>
      <c r="C828" s="41"/>
      <c r="D828" s="41"/>
      <c r="E828" s="41"/>
      <c r="F828" s="41"/>
      <c r="G828" s="41"/>
      <c r="H828" s="8"/>
      <c r="I828" s="41"/>
      <c r="J828" s="41"/>
      <c r="K828" s="41"/>
      <c r="L828" s="41"/>
      <c r="M828" s="2"/>
      <c r="N828" s="2"/>
      <c r="O828" s="2"/>
      <c r="P828" s="2"/>
      <c r="Q828" s="2"/>
      <c r="R828" s="2"/>
      <c r="S828" s="2"/>
      <c r="T828" s="2"/>
      <c r="U828" s="2"/>
    </row>
    <row r="829">
      <c r="A829" s="65"/>
      <c r="B829" s="65"/>
      <c r="C829" s="41"/>
      <c r="D829" s="41"/>
      <c r="E829" s="41"/>
      <c r="F829" s="41"/>
      <c r="G829" s="41"/>
      <c r="H829" s="8"/>
      <c r="I829" s="41"/>
      <c r="J829" s="41"/>
      <c r="K829" s="41"/>
      <c r="L829" s="41"/>
      <c r="M829" s="2"/>
      <c r="N829" s="2"/>
      <c r="O829" s="2"/>
      <c r="P829" s="2"/>
      <c r="Q829" s="2"/>
      <c r="R829" s="2"/>
      <c r="S829" s="2"/>
      <c r="T829" s="2"/>
      <c r="U829" s="2"/>
    </row>
    <row r="830">
      <c r="A830" s="65"/>
      <c r="B830" s="65"/>
      <c r="C830" s="41"/>
      <c r="D830" s="41"/>
      <c r="E830" s="41"/>
      <c r="F830" s="41"/>
      <c r="G830" s="41"/>
      <c r="H830" s="8"/>
      <c r="I830" s="41"/>
      <c r="J830" s="41"/>
      <c r="K830" s="41"/>
      <c r="L830" s="41"/>
      <c r="M830" s="2"/>
      <c r="N830" s="2"/>
      <c r="O830" s="2"/>
      <c r="P830" s="2"/>
      <c r="Q830" s="2"/>
      <c r="R830" s="2"/>
      <c r="S830" s="2"/>
      <c r="T830" s="2"/>
      <c r="U830" s="2"/>
    </row>
    <row r="831">
      <c r="A831" s="65"/>
      <c r="B831" s="65"/>
      <c r="C831" s="41"/>
      <c r="D831" s="41"/>
      <c r="E831" s="41"/>
      <c r="F831" s="41"/>
      <c r="G831" s="41"/>
      <c r="H831" s="8"/>
      <c r="I831" s="41"/>
      <c r="J831" s="41"/>
      <c r="K831" s="41"/>
      <c r="L831" s="41"/>
      <c r="M831" s="2"/>
      <c r="N831" s="2"/>
      <c r="O831" s="2"/>
      <c r="P831" s="2"/>
      <c r="Q831" s="2"/>
      <c r="R831" s="2"/>
      <c r="S831" s="2"/>
      <c r="T831" s="2"/>
      <c r="U831" s="2"/>
    </row>
    <row r="832">
      <c r="A832" s="65"/>
      <c r="B832" s="65"/>
      <c r="C832" s="41"/>
      <c r="D832" s="41"/>
      <c r="E832" s="41"/>
      <c r="F832" s="41"/>
      <c r="G832" s="41"/>
      <c r="H832" s="8"/>
      <c r="I832" s="41"/>
      <c r="J832" s="41"/>
      <c r="K832" s="41"/>
      <c r="L832" s="41"/>
      <c r="M832" s="2"/>
      <c r="N832" s="2"/>
      <c r="O832" s="2"/>
      <c r="P832" s="2"/>
      <c r="Q832" s="2"/>
      <c r="R832" s="2"/>
      <c r="S832" s="2"/>
      <c r="T832" s="2"/>
      <c r="U832" s="2"/>
    </row>
    <row r="833">
      <c r="A833" s="65"/>
      <c r="B833" s="65"/>
      <c r="C833" s="41"/>
      <c r="D833" s="41"/>
      <c r="E833" s="41"/>
      <c r="F833" s="41"/>
      <c r="G833" s="41"/>
      <c r="H833" s="8"/>
      <c r="I833" s="41"/>
      <c r="J833" s="41"/>
      <c r="K833" s="41"/>
      <c r="L833" s="41"/>
      <c r="M833" s="2"/>
      <c r="N833" s="2"/>
      <c r="O833" s="2"/>
      <c r="P833" s="2"/>
      <c r="Q833" s="2"/>
      <c r="R833" s="2"/>
      <c r="S833" s="2"/>
      <c r="T833" s="2"/>
      <c r="U833" s="2"/>
    </row>
    <row r="834">
      <c r="A834" s="65"/>
      <c r="B834" s="65"/>
      <c r="C834" s="41"/>
      <c r="D834" s="41"/>
      <c r="E834" s="41"/>
      <c r="F834" s="41"/>
      <c r="G834" s="41"/>
      <c r="H834" s="8"/>
      <c r="I834" s="41"/>
      <c r="J834" s="41"/>
      <c r="K834" s="41"/>
      <c r="L834" s="41"/>
      <c r="M834" s="2"/>
      <c r="N834" s="2"/>
      <c r="O834" s="2"/>
      <c r="P834" s="2"/>
      <c r="Q834" s="2"/>
      <c r="R834" s="2"/>
      <c r="S834" s="2"/>
      <c r="T834" s="2"/>
      <c r="U834" s="2"/>
    </row>
    <row r="835">
      <c r="A835" s="65"/>
      <c r="B835" s="65"/>
      <c r="C835" s="41"/>
      <c r="D835" s="41"/>
      <c r="E835" s="41"/>
      <c r="F835" s="41"/>
      <c r="G835" s="41"/>
      <c r="H835" s="8"/>
      <c r="I835" s="41"/>
      <c r="J835" s="41"/>
      <c r="K835" s="41"/>
      <c r="L835" s="41"/>
      <c r="M835" s="2" t="s">
        <f>SUM(#REF!)</f>
        <v>2136</v>
      </c>
      <c r="N835" s="2"/>
      <c r="O835" s="2"/>
      <c r="P835" s="2"/>
      <c r="Q835" s="2"/>
      <c r="R835" s="2"/>
      <c r="S835" s="2"/>
      <c r="T835" s="2"/>
      <c r="U835" s="2"/>
    </row>
    <row r="836">
      <c r="A836" s="65"/>
      <c r="B836" s="65"/>
      <c r="C836" s="41"/>
      <c r="D836" s="41"/>
      <c r="E836" s="41"/>
      <c r="F836" s="41"/>
      <c r="G836" s="41"/>
      <c r="H836" s="8"/>
      <c r="I836" s="41"/>
      <c r="J836" s="41"/>
      <c r="K836" s="41"/>
      <c r="L836" s="41"/>
      <c r="M836" s="2"/>
      <c r="N836" s="2"/>
      <c r="O836" s="2"/>
      <c r="P836" s="2"/>
      <c r="Q836" s="2"/>
      <c r="R836" s="2"/>
      <c r="S836" s="2"/>
      <c r="T836" s="2"/>
      <c r="U836" s="2"/>
    </row>
    <row r="837">
      <c r="A837" s="65"/>
      <c r="B837" s="65"/>
      <c r="C837" s="41"/>
      <c r="D837" s="41"/>
      <c r="E837" s="41"/>
      <c r="F837" s="41"/>
      <c r="G837" s="41"/>
      <c r="H837" s="8"/>
      <c r="I837" s="41"/>
      <c r="J837" s="41"/>
      <c r="K837" s="41"/>
      <c r="L837" s="41"/>
      <c r="M837" s="2"/>
      <c r="N837" s="2"/>
      <c r="O837" s="2"/>
      <c r="P837" s="2"/>
      <c r="Q837" s="2"/>
      <c r="R837" s="2"/>
      <c r="S837" s="2"/>
      <c r="T837" s="2"/>
      <c r="U837" s="2"/>
    </row>
    <row r="838">
      <c r="A838" s="65"/>
      <c r="B838" s="65"/>
      <c r="C838" s="41"/>
      <c r="D838" s="41"/>
      <c r="E838" s="41"/>
      <c r="F838" s="41"/>
      <c r="G838" s="41"/>
      <c r="H838" s="8"/>
      <c r="I838" s="41"/>
      <c r="J838" s="41"/>
      <c r="K838" s="41"/>
      <c r="L838" s="41"/>
      <c r="M838" s="5"/>
      <c r="N838" s="5"/>
      <c r="O838" s="5"/>
      <c r="P838" s="5"/>
      <c r="Q838" s="5"/>
      <c r="R838" s="5"/>
      <c r="S838" s="5"/>
      <c r="T838" s="5"/>
      <c r="U838" s="5"/>
    </row>
    <row r="839">
      <c r="A839" s="65"/>
      <c r="B839" s="65"/>
      <c r="C839" s="41"/>
      <c r="D839" s="41"/>
      <c r="E839" s="41"/>
      <c r="F839" s="41"/>
      <c r="G839" s="41"/>
      <c r="H839" s="8"/>
      <c r="I839" s="41"/>
      <c r="J839" s="41"/>
      <c r="K839" s="41"/>
      <c r="L839" s="41"/>
      <c r="M839" s="5"/>
      <c r="N839" s="5" t="s">
        <f>SUM(#REF!)</f>
        <v>2137</v>
      </c>
      <c r="O839" s="5"/>
      <c r="P839" s="5"/>
      <c r="Q839" s="5"/>
      <c r="R839" s="5"/>
      <c r="S839" s="5"/>
      <c r="T839" s="5"/>
      <c r="U839" s="5"/>
    </row>
    <row r="840">
      <c r="A840" s="65"/>
      <c r="B840" s="65"/>
      <c r="C840" s="41"/>
      <c r="D840" s="41"/>
      <c r="E840" s="41"/>
      <c r="F840" s="41"/>
      <c r="G840" s="41"/>
      <c r="H840" s="8"/>
      <c r="I840" s="41"/>
      <c r="J840" s="41"/>
      <c r="K840" s="41"/>
      <c r="L840" s="41"/>
      <c r="M840" s="5"/>
      <c r="N840" s="5"/>
      <c r="O840" s="5"/>
      <c r="P840" s="5"/>
      <c r="Q840" s="5"/>
      <c r="R840" s="5"/>
      <c r="S840" s="5"/>
      <c r="T840" s="5"/>
      <c r="U840" s="5"/>
    </row>
    <row r="841">
      <c r="A841" s="65"/>
      <c r="B841" s="65"/>
      <c r="C841" s="41"/>
      <c r="D841" s="41"/>
      <c r="E841" s="41"/>
      <c r="F841" s="41"/>
      <c r="G841" s="41"/>
      <c r="H841" s="8"/>
      <c r="I841" s="41"/>
      <c r="J841" s="41"/>
      <c r="K841" s="41"/>
      <c r="L841" s="41"/>
      <c r="M841" s="5"/>
      <c r="N841" s="5"/>
      <c r="O841" s="5"/>
      <c r="P841" s="5"/>
      <c r="Q841" s="5"/>
      <c r="R841" s="5"/>
      <c r="S841" s="5"/>
      <c r="T841" s="5"/>
      <c r="U841" s="5"/>
    </row>
    <row r="842">
      <c r="A842" s="65"/>
      <c r="B842" s="65"/>
      <c r="C842" s="41"/>
      <c r="D842" s="41"/>
      <c r="E842" s="41"/>
      <c r="F842" s="41"/>
      <c r="G842" s="41"/>
      <c r="H842" s="8"/>
      <c r="I842" s="41"/>
      <c r="J842" s="41"/>
      <c r="K842" s="41"/>
      <c r="L842" s="41"/>
      <c r="M842" s="5" t="s">
        <f>SUM(#REF!)</f>
        <v>2138</v>
      </c>
      <c r="N842" s="5"/>
      <c r="O842" s="5"/>
      <c r="P842" s="5"/>
      <c r="Q842" s="5"/>
      <c r="R842" s="5"/>
      <c r="S842" s="5"/>
      <c r="T842" s="5"/>
      <c r="U842" s="5"/>
    </row>
    <row r="843">
      <c r="A843" s="65"/>
      <c r="B843" s="65"/>
      <c r="C843" s="41"/>
      <c r="D843" s="41"/>
      <c r="E843" s="41"/>
      <c r="F843" s="41"/>
      <c r="G843" s="41"/>
      <c r="H843" s="8"/>
      <c r="I843" s="41"/>
      <c r="J843" s="41"/>
      <c r="K843" s="41"/>
      <c r="L843" s="41"/>
      <c r="M843" s="5"/>
      <c r="N843" s="5"/>
      <c r="O843" s="5"/>
      <c r="P843" s="5"/>
      <c r="Q843" s="5"/>
      <c r="R843" s="5"/>
      <c r="S843" s="5"/>
      <c r="T843" s="5"/>
      <c r="U843" s="5"/>
    </row>
    <row r="844">
      <c r="A844" s="65"/>
      <c r="B844" s="65"/>
      <c r="C844" s="41"/>
      <c r="D844" s="41"/>
      <c r="E844" s="41"/>
      <c r="F844" s="41"/>
      <c r="G844" s="41"/>
      <c r="H844" s="8"/>
      <c r="I844" s="41"/>
      <c r="J844" s="41"/>
      <c r="K844" s="41"/>
      <c r="L844" s="41"/>
      <c r="M844" s="5"/>
      <c r="N844" s="5"/>
      <c r="O844" s="5"/>
      <c r="P844" s="5"/>
      <c r="Q844" s="5"/>
      <c r="R844" s="5"/>
      <c r="S844" s="5"/>
      <c r="T844" s="5"/>
      <c r="U844" s="5"/>
    </row>
    <row r="845">
      <c r="A845" s="65"/>
      <c r="B845" s="65"/>
      <c r="C845" s="41"/>
      <c r="D845" s="41"/>
      <c r="E845" s="41"/>
      <c r="F845" s="41"/>
      <c r="G845" s="41"/>
      <c r="H845" s="8"/>
      <c r="I845" s="41"/>
      <c r="J845" s="41"/>
      <c r="K845" s="41"/>
      <c r="L845" s="41"/>
      <c r="M845" s="5"/>
      <c r="N845" s="5"/>
      <c r="O845" s="5"/>
      <c r="P845" s="5"/>
      <c r="Q845" s="5"/>
      <c r="R845" s="5"/>
      <c r="S845" s="5"/>
      <c r="T845" s="5"/>
      <c r="U845" s="5"/>
    </row>
    <row r="846">
      <c r="A846" s="65"/>
      <c r="B846" s="65"/>
      <c r="C846" s="41"/>
      <c r="D846" s="41"/>
      <c r="E846" s="41"/>
      <c r="F846" s="41"/>
      <c r="G846" s="41"/>
      <c r="H846" s="8"/>
      <c r="I846" s="41"/>
      <c r="J846" s="41"/>
      <c r="K846" s="41"/>
      <c r="L846" s="41"/>
      <c r="M846" s="5"/>
      <c r="N846" s="5"/>
      <c r="O846" s="5"/>
      <c r="P846" s="5"/>
      <c r="Q846" s="5"/>
      <c r="R846" s="5"/>
      <c r="S846" s="5"/>
      <c r="T846" s="5"/>
      <c r="U846" s="5"/>
    </row>
    <row r="847">
      <c r="A847" s="65"/>
      <c r="B847" s="65"/>
      <c r="C847" s="41"/>
      <c r="D847" s="41"/>
      <c r="E847" s="41"/>
      <c r="F847" s="41"/>
      <c r="G847" s="41"/>
      <c r="H847" s="8"/>
      <c r="I847" s="41"/>
      <c r="J847" s="41"/>
      <c r="K847" s="41"/>
      <c r="L847" s="41"/>
      <c r="M847" s="5"/>
      <c r="N847" s="5"/>
      <c r="O847" s="5"/>
      <c r="P847" s="5"/>
      <c r="Q847" s="5"/>
      <c r="R847" s="5"/>
      <c r="S847" s="5"/>
      <c r="T847" s="5"/>
      <c r="U847" s="5"/>
    </row>
    <row r="848">
      <c r="A848" s="65"/>
      <c r="B848" s="65"/>
      <c r="C848" s="41"/>
      <c r="D848" s="41"/>
      <c r="E848" s="41"/>
      <c r="F848" s="41"/>
      <c r="G848" s="41"/>
      <c r="H848" s="8"/>
      <c r="I848" s="41"/>
      <c r="J848" s="41"/>
      <c r="K848" s="41"/>
      <c r="L848" s="41"/>
      <c r="M848" s="5"/>
      <c r="N848" s="5"/>
      <c r="O848" s="5"/>
      <c r="P848" s="5"/>
      <c r="Q848" s="5"/>
      <c r="R848" s="5"/>
      <c r="S848" s="5"/>
      <c r="T848" s="5"/>
      <c r="U848" s="5"/>
    </row>
    <row r="849">
      <c r="A849" s="65"/>
      <c r="B849" s="65"/>
      <c r="C849" s="41"/>
      <c r="D849" s="41"/>
      <c r="E849" s="41"/>
      <c r="F849" s="41"/>
      <c r="G849" s="41"/>
      <c r="H849" s="8"/>
      <c r="I849" s="41"/>
      <c r="J849" s="41"/>
      <c r="K849" s="41"/>
      <c r="L849" s="41"/>
      <c r="M849" s="5"/>
      <c r="N849" s="5"/>
      <c r="O849" s="5"/>
      <c r="P849" s="5"/>
      <c r="Q849" s="5"/>
      <c r="R849" s="5"/>
      <c r="S849" s="5"/>
      <c r="T849" s="5"/>
      <c r="U849" s="5"/>
    </row>
    <row r="850">
      <c r="A850" s="65"/>
      <c r="B850" s="65"/>
      <c r="C850" s="41"/>
      <c r="D850" s="41"/>
      <c r="E850" s="41"/>
      <c r="F850" s="41"/>
      <c r="G850" s="41"/>
      <c r="H850" s="8"/>
      <c r="I850" s="41"/>
      <c r="J850" s="41"/>
      <c r="K850" s="41"/>
      <c r="L850" s="41"/>
      <c r="M850" s="5"/>
      <c r="N850" s="5"/>
      <c r="O850" s="5"/>
      <c r="P850" s="5"/>
      <c r="Q850" s="5"/>
      <c r="R850" s="5"/>
      <c r="S850" s="5"/>
      <c r="T850" s="5"/>
      <c r="U850" s="5"/>
    </row>
    <row r="851">
      <c r="A851" s="65"/>
      <c r="B851" s="65"/>
      <c r="C851" s="41"/>
      <c r="D851" s="41"/>
      <c r="E851" s="41"/>
      <c r="F851" s="41"/>
      <c r="G851" s="41"/>
      <c r="H851" s="8"/>
      <c r="I851" s="41"/>
      <c r="J851" s="41"/>
      <c r="K851" s="41"/>
      <c r="L851" s="41"/>
      <c r="M851" s="5"/>
      <c r="N851" s="5"/>
      <c r="O851" s="5"/>
      <c r="P851" s="5"/>
      <c r="Q851" s="5"/>
      <c r="R851" s="5"/>
      <c r="S851" s="5"/>
      <c r="T851" s="5"/>
      <c r="U851" s="5"/>
    </row>
    <row r="852">
      <c r="A852" s="65"/>
      <c r="B852" s="65"/>
      <c r="C852" s="41"/>
      <c r="D852" s="41"/>
      <c r="E852" s="41"/>
      <c r="F852" s="41"/>
      <c r="G852" s="41"/>
      <c r="H852" s="8"/>
      <c r="I852" s="41"/>
      <c r="J852" s="41"/>
      <c r="K852" s="41"/>
      <c r="L852" s="41"/>
      <c r="M852" s="5"/>
      <c r="N852" s="5"/>
      <c r="O852" s="5"/>
      <c r="P852" s="5"/>
      <c r="Q852" s="5"/>
      <c r="R852" s="5"/>
      <c r="S852" s="5"/>
      <c r="T852" s="5"/>
      <c r="U852" s="5"/>
    </row>
    <row r="853">
      <c r="A853" s="65"/>
      <c r="B853" s="65"/>
      <c r="C853" s="41"/>
      <c r="D853" s="41"/>
      <c r="E853" s="41"/>
      <c r="F853" s="41"/>
      <c r="G853" s="41"/>
      <c r="H853" s="8"/>
      <c r="I853" s="41"/>
      <c r="J853" s="41"/>
      <c r="K853" s="41"/>
      <c r="L853" s="41"/>
      <c r="M853" s="5"/>
      <c r="N853" s="5"/>
      <c r="O853" s="5"/>
      <c r="P853" s="5"/>
      <c r="Q853" s="5"/>
      <c r="R853" s="5"/>
      <c r="S853" s="5"/>
      <c r="T853" s="5"/>
      <c r="U853" s="5"/>
    </row>
    <row r="854">
      <c r="A854" s="65"/>
      <c r="B854" s="65"/>
      <c r="C854" s="41"/>
      <c r="D854" s="41"/>
      <c r="E854" s="41"/>
      <c r="F854" s="41"/>
      <c r="G854" s="41"/>
      <c r="H854" s="8"/>
      <c r="I854" s="41"/>
      <c r="J854" s="41"/>
      <c r="K854" s="41"/>
      <c r="L854" s="41"/>
      <c r="M854" s="5"/>
      <c r="N854" s="5"/>
      <c r="O854" s="5"/>
      <c r="P854" s="5"/>
      <c r="Q854" s="5"/>
      <c r="R854" s="5"/>
      <c r="S854" s="5"/>
      <c r="T854" s="5"/>
      <c r="U854" s="5"/>
    </row>
    <row r="855">
      <c r="A855" s="65"/>
      <c r="B855" s="65"/>
      <c r="C855" s="41"/>
      <c r="D855" s="41"/>
      <c r="E855" s="41"/>
      <c r="F855" s="41"/>
      <c r="G855" s="41"/>
      <c r="H855" s="8"/>
      <c r="I855" s="41"/>
      <c r="J855" s="41"/>
      <c r="K855" s="41"/>
      <c r="L855" s="41"/>
      <c r="M855" s="5"/>
      <c r="N855" s="5"/>
      <c r="O855" s="5"/>
      <c r="P855" s="5"/>
      <c r="Q855" s="5"/>
      <c r="R855" s="5"/>
      <c r="S855" s="5"/>
      <c r="T855" s="5"/>
      <c r="U855" s="5"/>
    </row>
    <row r="856">
      <c r="A856" s="65"/>
      <c r="B856" s="65"/>
      <c r="C856" s="41"/>
      <c r="D856" s="41"/>
      <c r="E856" s="41"/>
      <c r="F856" s="41"/>
      <c r="G856" s="41"/>
      <c r="H856" s="8"/>
      <c r="I856" s="41"/>
      <c r="J856" s="41"/>
      <c r="K856" s="41"/>
      <c r="L856" s="41"/>
      <c r="M856" s="5"/>
      <c r="N856" s="5"/>
      <c r="O856" s="5"/>
      <c r="P856" s="5"/>
      <c r="Q856" s="5"/>
      <c r="R856" s="5"/>
      <c r="S856" s="5"/>
      <c r="T856" s="5"/>
      <c r="U856" s="5"/>
    </row>
    <row r="857">
      <c r="A857" s="65"/>
      <c r="B857" s="65"/>
      <c r="C857" s="41"/>
      <c r="D857" s="41"/>
      <c r="E857" s="41"/>
      <c r="F857" s="41"/>
      <c r="G857" s="41"/>
      <c r="H857" s="8"/>
      <c r="I857" s="41"/>
      <c r="J857" s="41"/>
      <c r="K857" s="41"/>
      <c r="L857" s="41"/>
      <c r="M857" s="5"/>
      <c r="N857" s="5"/>
      <c r="O857" s="5"/>
      <c r="P857" s="5"/>
      <c r="Q857" s="5"/>
      <c r="R857" s="5"/>
      <c r="S857" s="5"/>
      <c r="T857" s="5"/>
      <c r="U857" s="5"/>
    </row>
    <row r="858">
      <c r="A858" s="65"/>
      <c r="B858" s="65"/>
      <c r="C858" s="41"/>
      <c r="D858" s="41"/>
      <c r="E858" s="41"/>
      <c r="F858" s="41"/>
      <c r="G858" s="41"/>
      <c r="H858" s="8"/>
      <c r="I858" s="41"/>
      <c r="J858" s="41"/>
      <c r="K858" s="41"/>
      <c r="L858" s="41"/>
      <c r="M858" s="5"/>
      <c r="N858" s="5"/>
      <c r="O858" s="5"/>
      <c r="P858" s="5"/>
      <c r="Q858" s="5"/>
      <c r="R858" s="5"/>
      <c r="S858" s="5"/>
      <c r="T858" s="5"/>
      <c r="U858" s="5"/>
    </row>
    <row r="859">
      <c r="A859" s="65"/>
      <c r="B859" s="65"/>
      <c r="C859" s="41"/>
      <c r="D859" s="41"/>
      <c r="E859" s="41"/>
      <c r="F859" s="41"/>
      <c r="G859" s="41"/>
      <c r="H859" s="8"/>
      <c r="I859" s="41"/>
      <c r="J859" s="41"/>
      <c r="K859" s="41"/>
      <c r="L859" s="41"/>
      <c r="M859" s="5"/>
      <c r="N859" s="5"/>
      <c r="O859" s="5"/>
      <c r="P859" s="5"/>
      <c r="Q859" s="5"/>
      <c r="R859" s="5"/>
      <c r="S859" s="5"/>
      <c r="T859" s="5"/>
      <c r="U859" s="5"/>
    </row>
    <row r="860">
      <c r="A860" s="65"/>
      <c r="B860" s="65"/>
      <c r="C860" s="41"/>
      <c r="D860" s="41"/>
      <c r="E860" s="41"/>
      <c r="F860" s="41"/>
      <c r="G860" s="41"/>
      <c r="H860" s="8"/>
      <c r="I860" s="41"/>
      <c r="J860" s="41"/>
      <c r="K860" s="41"/>
      <c r="L860" s="41"/>
      <c r="M860" s="5"/>
      <c r="N860" s="5"/>
      <c r="O860" s="5"/>
      <c r="P860" s="5"/>
      <c r="Q860" s="5"/>
      <c r="R860" s="5"/>
      <c r="S860" s="5"/>
      <c r="T860" s="5"/>
      <c r="U860" s="5"/>
    </row>
    <row r="861">
      <c r="A861" s="65"/>
      <c r="B861" s="65"/>
      <c r="C861" s="41"/>
      <c r="D861" s="41"/>
      <c r="E861" s="41"/>
      <c r="F861" s="41"/>
      <c r="G861" s="41"/>
      <c r="H861" s="8"/>
      <c r="I861" s="41"/>
      <c r="J861" s="41"/>
      <c r="K861" s="41"/>
      <c r="L861" s="41"/>
      <c r="M861" s="5"/>
      <c r="N861" s="5"/>
      <c r="O861" s="5"/>
      <c r="P861" s="5"/>
      <c r="Q861" s="5"/>
      <c r="R861" s="5"/>
      <c r="S861" s="5"/>
      <c r="T861" s="5"/>
      <c r="U861" s="5"/>
    </row>
    <row r="862">
      <c r="A862" s="65"/>
      <c r="B862" s="65"/>
      <c r="C862" s="41"/>
      <c r="D862" s="41"/>
      <c r="E862" s="41"/>
      <c r="F862" s="41"/>
      <c r="G862" s="41"/>
      <c r="H862" s="8"/>
      <c r="I862" s="41"/>
      <c r="J862" s="41"/>
      <c r="K862" s="41"/>
      <c r="L862" s="41"/>
      <c r="M862" s="5"/>
      <c r="N862" s="5"/>
      <c r="O862" s="5"/>
      <c r="P862" s="5"/>
      <c r="Q862" s="5"/>
      <c r="R862" s="5"/>
      <c r="S862" s="5"/>
      <c r="T862" s="5"/>
      <c r="U862" s="5"/>
    </row>
    <row r="863">
      <c r="A863" s="65"/>
      <c r="B863" s="65"/>
      <c r="C863" s="41"/>
      <c r="D863" s="41"/>
      <c r="E863" s="41"/>
      <c r="F863" s="41"/>
      <c r="G863" s="41"/>
      <c r="H863" s="8"/>
      <c r="I863" s="41"/>
      <c r="J863" s="41"/>
      <c r="K863" s="41"/>
      <c r="L863" s="41"/>
      <c r="M863" s="5"/>
      <c r="N863" s="5"/>
      <c r="O863" s="5"/>
      <c r="P863" s="5"/>
      <c r="Q863" s="5"/>
      <c r="R863" s="5"/>
      <c r="S863" s="5"/>
      <c r="T863" s="5"/>
      <c r="U863" s="5"/>
    </row>
    <row r="864">
      <c r="A864" s="65"/>
      <c r="B864" s="65"/>
      <c r="C864" s="41"/>
      <c r="D864" s="41"/>
      <c r="E864" s="41"/>
      <c r="F864" s="41"/>
      <c r="G864" s="41"/>
      <c r="H864" s="8"/>
      <c r="I864" s="41"/>
      <c r="J864" s="41"/>
      <c r="K864" s="41"/>
      <c r="L864" s="41"/>
      <c r="M864" s="5"/>
      <c r="N864" s="5"/>
      <c r="O864" s="5"/>
      <c r="P864" s="5"/>
      <c r="Q864" s="5"/>
      <c r="R864" s="5"/>
      <c r="S864" s="5"/>
      <c r="T864" s="5"/>
      <c r="U864" s="5"/>
    </row>
    <row r="865">
      <c r="A865" s="65"/>
      <c r="B865" s="65"/>
      <c r="C865" s="41"/>
      <c r="D865" s="41"/>
      <c r="E865" s="41"/>
      <c r="F865" s="41"/>
      <c r="G865" s="41"/>
      <c r="H865" s="8"/>
      <c r="I865" s="41"/>
      <c r="J865" s="41"/>
      <c r="K865" s="41"/>
      <c r="L865" s="41"/>
      <c r="M865" s="5"/>
      <c r="N865" s="5"/>
      <c r="O865" s="5"/>
      <c r="P865" s="5"/>
      <c r="Q865" s="5"/>
      <c r="R865" s="5"/>
      <c r="S865" s="5"/>
      <c r="T865" s="5"/>
      <c r="U865" s="5"/>
    </row>
    <row r="866">
      <c r="A866" s="65"/>
      <c r="B866" s="65"/>
      <c r="C866" s="41"/>
      <c r="D866" s="41"/>
      <c r="E866" s="41"/>
      <c r="F866" s="41"/>
      <c r="G866" s="41"/>
      <c r="H866" s="8"/>
      <c r="I866" s="41"/>
      <c r="J866" s="41"/>
      <c r="K866" s="41"/>
      <c r="L866" s="41"/>
      <c r="M866" s="5"/>
      <c r="N866" s="5"/>
      <c r="O866" s="5"/>
      <c r="P866" s="5"/>
      <c r="Q866" s="5"/>
      <c r="R866" s="5"/>
      <c r="S866" s="5"/>
      <c r="T866" s="5"/>
      <c r="U866" s="5"/>
    </row>
    <row r="867">
      <c r="A867" s="65"/>
      <c r="B867" s="65"/>
      <c r="C867" s="41"/>
      <c r="D867" s="41"/>
      <c r="E867" s="41"/>
      <c r="F867" s="41"/>
      <c r="G867" s="41"/>
      <c r="H867" s="8"/>
      <c r="I867" s="41"/>
      <c r="J867" s="41"/>
      <c r="K867" s="41"/>
      <c r="L867" s="41"/>
      <c r="M867" s="5"/>
      <c r="N867" s="5"/>
      <c r="O867" s="5"/>
      <c r="P867" s="5"/>
      <c r="Q867" s="5"/>
      <c r="R867" s="5"/>
      <c r="S867" s="5"/>
      <c r="T867" s="5"/>
      <c r="U867" s="5"/>
    </row>
    <row r="868">
      <c r="A868" s="65"/>
      <c r="B868" s="65"/>
      <c r="C868" s="41"/>
      <c r="D868" s="41"/>
      <c r="E868" s="41"/>
      <c r="F868" s="41"/>
      <c r="G868" s="41"/>
      <c r="H868" s="8"/>
      <c r="I868" s="41"/>
      <c r="J868" s="41"/>
      <c r="K868" s="41"/>
      <c r="L868" s="41"/>
      <c r="M868" s="67"/>
      <c r="N868" s="67"/>
      <c r="O868" s="67"/>
      <c r="P868" s="67"/>
      <c r="Q868" s="67"/>
      <c r="R868" s="67"/>
      <c r="S868" s="67"/>
      <c r="T868" s="67"/>
      <c r="U868" s="67"/>
    </row>
    <row r="869">
      <c r="A869" s="65"/>
      <c r="B869" s="65"/>
      <c r="C869" s="41"/>
      <c r="D869" s="41"/>
      <c r="E869" s="41"/>
      <c r="F869" s="41"/>
      <c r="G869" s="41"/>
      <c r="H869" s="8"/>
      <c r="I869" s="41"/>
      <c r="J869" s="41"/>
      <c r="K869" s="41"/>
      <c r="L869" s="41"/>
      <c r="M869" s="67"/>
      <c r="N869" s="67"/>
      <c r="O869" s="67"/>
      <c r="P869" s="67"/>
      <c r="Q869" s="67"/>
      <c r="R869" s="67"/>
      <c r="S869" s="67"/>
      <c r="T869" s="67"/>
      <c r="U869" s="67"/>
    </row>
    <row r="870">
      <c r="A870" s="65"/>
      <c r="B870" s="65"/>
      <c r="C870" s="41"/>
      <c r="D870" s="41"/>
      <c r="E870" s="41"/>
      <c r="F870" s="41"/>
      <c r="G870" s="41"/>
      <c r="H870" s="8"/>
      <c r="I870" s="41"/>
      <c r="J870" s="41"/>
      <c r="K870" s="41"/>
      <c r="L870" s="41"/>
      <c r="M870" s="67"/>
      <c r="N870" s="67"/>
      <c r="O870" s="67"/>
      <c r="P870" s="67"/>
      <c r="Q870" s="67"/>
      <c r="R870" s="67"/>
      <c r="S870" s="67"/>
      <c r="T870" s="67"/>
      <c r="U870" s="67"/>
    </row>
    <row r="871">
      <c r="A871" s="65"/>
      <c r="B871" s="65"/>
      <c r="C871" s="41"/>
      <c r="D871" s="41"/>
      <c r="E871" s="41"/>
      <c r="F871" s="41"/>
      <c r="G871" s="41"/>
      <c r="H871" s="8"/>
      <c r="I871" s="41"/>
      <c r="J871" s="41"/>
      <c r="K871" s="41"/>
      <c r="L871" s="41"/>
      <c r="M871" s="5"/>
      <c r="N871" s="5"/>
      <c r="O871" s="5"/>
      <c r="P871" s="5"/>
      <c r="Q871" s="5"/>
      <c r="R871" s="5"/>
      <c r="S871" s="5"/>
      <c r="T871" s="5"/>
      <c r="U871" s="5"/>
    </row>
    <row r="872">
      <c r="A872" s="65"/>
      <c r="B872" s="65"/>
      <c r="C872" s="41"/>
      <c r="D872" s="41"/>
      <c r="E872" s="41"/>
      <c r="F872" s="41"/>
      <c r="G872" s="41"/>
      <c r="H872" s="8"/>
      <c r="I872" s="41"/>
      <c r="J872" s="41"/>
      <c r="K872" s="41"/>
      <c r="L872" s="41"/>
      <c r="M872" s="5"/>
      <c r="N872" s="5"/>
      <c r="O872" s="5"/>
      <c r="P872" s="5"/>
      <c r="Q872" s="5"/>
      <c r="R872" s="5"/>
      <c r="S872" s="5"/>
      <c r="T872" s="5"/>
      <c r="U872" s="5"/>
    </row>
    <row r="873">
      <c r="A873" s="65"/>
      <c r="B873" s="65"/>
      <c r="C873" s="41"/>
      <c r="D873" s="41"/>
      <c r="E873" s="41"/>
      <c r="F873" s="41"/>
      <c r="G873" s="41"/>
      <c r="H873" s="8"/>
      <c r="I873" s="41"/>
      <c r="J873" s="41"/>
      <c r="K873" s="41"/>
      <c r="L873" s="41"/>
      <c r="M873" s="5"/>
      <c r="N873" s="5"/>
      <c r="O873" s="5"/>
      <c r="P873" s="5"/>
      <c r="Q873" s="5"/>
      <c r="R873" s="5"/>
      <c r="S873" s="5"/>
      <c r="T873" s="5"/>
      <c r="U873" s="5"/>
    </row>
    <row r="874">
      <c r="A874" s="65"/>
      <c r="B874" s="65"/>
      <c r="C874" s="41"/>
      <c r="D874" s="41"/>
      <c r="E874" s="41"/>
      <c r="F874" s="41"/>
      <c r="G874" s="41"/>
      <c r="H874" s="8"/>
      <c r="I874" s="41"/>
      <c r="J874" s="41"/>
      <c r="K874" s="41"/>
      <c r="L874" s="41"/>
      <c r="M874" s="5"/>
      <c r="N874" s="5"/>
      <c r="O874" s="5"/>
      <c r="P874" s="5"/>
      <c r="Q874" s="5"/>
      <c r="R874" s="5"/>
      <c r="S874" s="5"/>
      <c r="T874" s="5"/>
      <c r="U874" s="5"/>
    </row>
    <row r="875">
      <c r="A875" s="65"/>
      <c r="B875" s="65"/>
      <c r="C875" s="41"/>
      <c r="D875" s="41"/>
      <c r="E875" s="41"/>
      <c r="F875" s="41"/>
      <c r="G875" s="41"/>
      <c r="H875" s="8"/>
      <c r="I875" s="41"/>
      <c r="J875" s="41"/>
      <c r="K875" s="41"/>
      <c r="L875" s="41"/>
      <c r="M875" s="5"/>
      <c r="N875" s="5"/>
      <c r="O875" s="5"/>
      <c r="P875" s="5"/>
      <c r="Q875" s="5"/>
      <c r="R875" s="5"/>
      <c r="S875" s="5"/>
      <c r="T875" s="5"/>
      <c r="U875" s="5"/>
    </row>
    <row r="876">
      <c r="A876" s="65"/>
      <c r="B876" s="65"/>
      <c r="C876" s="41"/>
      <c r="D876" s="41"/>
      <c r="E876" s="41"/>
      <c r="F876" s="41"/>
      <c r="G876" s="41"/>
      <c r="H876" s="8"/>
      <c r="I876" s="41"/>
      <c r="J876" s="41"/>
      <c r="K876" s="41"/>
      <c r="L876" s="41"/>
      <c r="M876" s="5"/>
      <c r="N876" s="5"/>
      <c r="O876" s="5"/>
      <c r="P876" s="5"/>
      <c r="Q876" s="5"/>
      <c r="R876" s="5"/>
      <c r="S876" s="5"/>
      <c r="T876" s="5"/>
      <c r="U876" s="5"/>
    </row>
    <row r="877">
      <c r="A877" s="65"/>
      <c r="B877" s="65"/>
      <c r="C877" s="41"/>
      <c r="D877" s="41"/>
      <c r="E877" s="41"/>
      <c r="F877" s="41"/>
      <c r="G877" s="41"/>
      <c r="H877" s="8"/>
      <c r="I877" s="41"/>
      <c r="J877" s="41"/>
      <c r="K877" s="41"/>
      <c r="L877" s="41"/>
      <c r="M877" s="5"/>
      <c r="N877" s="5"/>
      <c r="O877" s="5"/>
      <c r="P877" s="5"/>
      <c r="Q877" s="5"/>
      <c r="R877" s="5"/>
      <c r="S877" s="5"/>
      <c r="T877" s="5"/>
      <c r="U877" s="5"/>
    </row>
    <row r="878">
      <c r="A878" s="65"/>
      <c r="B878" s="65"/>
      <c r="C878" s="41"/>
      <c r="D878" s="41"/>
      <c r="E878" s="41"/>
      <c r="F878" s="41"/>
      <c r="G878" s="41"/>
      <c r="H878" s="8"/>
      <c r="I878" s="41"/>
      <c r="J878" s="41"/>
      <c r="K878" s="41"/>
      <c r="L878" s="41"/>
      <c r="M878" s="5"/>
      <c r="N878" s="5"/>
      <c r="O878" s="5"/>
      <c r="P878" s="5"/>
      <c r="Q878" s="5"/>
      <c r="R878" s="5"/>
      <c r="S878" s="5"/>
      <c r="T878" s="5"/>
      <c r="U878" s="5"/>
    </row>
    <row r="879">
      <c r="A879" s="65"/>
      <c r="B879" s="65"/>
      <c r="C879" s="41"/>
      <c r="D879" s="41"/>
      <c r="E879" s="41"/>
      <c r="F879" s="41"/>
      <c r="G879" s="41"/>
      <c r="H879" s="8"/>
      <c r="I879" s="41"/>
      <c r="J879" s="41"/>
      <c r="K879" s="41"/>
      <c r="L879" s="41"/>
      <c r="M879" s="5"/>
      <c r="N879" s="5"/>
      <c r="O879" s="5"/>
      <c r="P879" s="5"/>
      <c r="Q879" s="5"/>
      <c r="R879" s="5"/>
      <c r="S879" s="5"/>
      <c r="T879" s="5"/>
      <c r="U879" s="5"/>
    </row>
    <row r="880">
      <c r="A880" s="65"/>
      <c r="B880" s="65"/>
      <c r="C880" s="41"/>
      <c r="D880" s="41"/>
      <c r="E880" s="41"/>
      <c r="F880" s="41"/>
      <c r="G880" s="41"/>
      <c r="H880" s="8"/>
      <c r="I880" s="41"/>
      <c r="J880" s="41"/>
      <c r="K880" s="41"/>
      <c r="L880" s="41"/>
      <c r="M880" s="5"/>
      <c r="N880" s="5"/>
      <c r="O880" s="5"/>
      <c r="P880" s="5"/>
      <c r="Q880" s="5"/>
      <c r="R880" s="5"/>
      <c r="S880" s="5"/>
      <c r="T880" s="5"/>
      <c r="U880" s="5"/>
    </row>
    <row r="881">
      <c r="A881" s="65"/>
      <c r="B881" s="65"/>
      <c r="C881" s="41"/>
      <c r="D881" s="41"/>
      <c r="E881" s="41"/>
      <c r="F881" s="41"/>
      <c r="G881" s="41"/>
      <c r="H881" s="8"/>
      <c r="I881" s="41"/>
      <c r="J881" s="41"/>
      <c r="K881" s="41"/>
      <c r="L881" s="41"/>
      <c r="M881" s="5"/>
      <c r="N881" s="5"/>
      <c r="O881" s="5"/>
      <c r="P881" s="5"/>
      <c r="Q881" s="5"/>
      <c r="R881" s="5"/>
      <c r="S881" s="5"/>
      <c r="T881" s="5"/>
      <c r="U881" s="5"/>
    </row>
    <row r="882">
      <c r="A882" s="65"/>
      <c r="B882" s="65"/>
      <c r="C882" s="41"/>
      <c r="D882" s="41"/>
      <c r="E882" s="41"/>
      <c r="F882" s="41"/>
      <c r="G882" s="41"/>
      <c r="H882" s="8"/>
      <c r="I882" s="41"/>
      <c r="J882" s="41"/>
      <c r="K882" s="41"/>
      <c r="L882" s="41"/>
      <c r="M882" s="5"/>
      <c r="N882" s="5"/>
      <c r="O882" s="5"/>
      <c r="P882" s="5"/>
      <c r="Q882" s="5"/>
      <c r="R882" s="5"/>
      <c r="S882" s="5"/>
      <c r="T882" s="5"/>
      <c r="U882" s="5"/>
    </row>
    <row r="883">
      <c r="A883" s="65"/>
      <c r="B883" s="65"/>
      <c r="C883" s="41"/>
      <c r="D883" s="41"/>
      <c r="E883" s="41"/>
      <c r="F883" s="41"/>
      <c r="G883" s="41"/>
      <c r="H883" s="8"/>
      <c r="I883" s="41"/>
      <c r="J883" s="41"/>
      <c r="K883" s="41"/>
      <c r="L883" s="41"/>
      <c r="M883" s="68"/>
      <c r="N883" s="68"/>
      <c r="O883" s="68"/>
      <c r="P883" s="68"/>
      <c r="Q883" s="68"/>
      <c r="R883" s="68"/>
      <c r="S883" s="68"/>
      <c r="T883" s="68"/>
      <c r="U883" s="68"/>
    </row>
    <row r="884">
      <c r="A884" s="65"/>
      <c r="B884" s="65"/>
      <c r="C884" s="41"/>
      <c r="D884" s="41"/>
      <c r="E884" s="41"/>
      <c r="F884" s="41"/>
      <c r="G884" s="41"/>
      <c r="H884" s="8"/>
      <c r="I884" s="41"/>
      <c r="J884" s="41"/>
      <c r="K884" s="41"/>
      <c r="L884" s="41"/>
      <c r="M884" s="68"/>
      <c r="N884" s="68"/>
      <c r="O884" s="68"/>
      <c r="P884" s="68"/>
      <c r="Q884" s="68"/>
      <c r="R884" s="68"/>
      <c r="S884" s="68"/>
      <c r="T884" s="68"/>
      <c r="U884" s="68"/>
    </row>
    <row r="885">
      <c r="A885" s="65"/>
      <c r="B885" s="65"/>
      <c r="C885" s="41"/>
      <c r="D885" s="41"/>
      <c r="E885" s="41"/>
      <c r="F885" s="41"/>
      <c r="G885" s="41"/>
      <c r="H885" s="8"/>
      <c r="I885" s="41"/>
      <c r="J885" s="41"/>
      <c r="K885" s="41"/>
      <c r="L885" s="41"/>
      <c r="M885" s="68"/>
      <c r="N885" s="68"/>
      <c r="O885" s="68"/>
      <c r="P885" s="68"/>
      <c r="Q885" s="68"/>
      <c r="R885" s="68"/>
      <c r="S885" s="68"/>
      <c r="T885" s="68"/>
      <c r="U885" s="68"/>
    </row>
    <row r="886">
      <c r="A886" s="65"/>
      <c r="B886" s="65"/>
      <c r="C886" s="41"/>
      <c r="D886" s="41"/>
      <c r="E886" s="41"/>
      <c r="F886" s="41"/>
      <c r="G886" s="41"/>
      <c r="H886" s="8"/>
      <c r="I886" s="41"/>
      <c r="J886" s="41"/>
      <c r="K886" s="41"/>
      <c r="L886" s="41"/>
      <c r="M886" s="2"/>
      <c r="N886" s="2"/>
      <c r="O886" s="2"/>
      <c r="P886" s="2"/>
      <c r="Q886" s="2"/>
      <c r="R886" s="2"/>
      <c r="S886" s="2"/>
      <c r="T886" s="2"/>
      <c r="U886" s="2"/>
    </row>
    <row r="887">
      <c r="A887" s="65"/>
      <c r="B887" s="65"/>
      <c r="C887" s="41"/>
      <c r="D887" s="41"/>
      <c r="E887" s="41"/>
      <c r="F887" s="41"/>
      <c r="G887" s="41"/>
      <c r="H887" s="8"/>
      <c r="I887" s="41"/>
      <c r="J887" s="41"/>
      <c r="K887" s="41"/>
      <c r="L887" s="41"/>
      <c r="M887" s="2"/>
      <c r="N887" s="2"/>
      <c r="O887" s="2"/>
      <c r="P887" s="2"/>
      <c r="Q887" s="2"/>
      <c r="R887" s="2"/>
      <c r="S887" s="2"/>
      <c r="T887" s="2"/>
      <c r="U887" s="2"/>
    </row>
    <row r="888">
      <c r="A888" s="65"/>
      <c r="B888" s="65"/>
      <c r="C888" s="41"/>
      <c r="D888" s="41"/>
      <c r="E888" s="41"/>
      <c r="F888" s="41"/>
      <c r="G888" s="41"/>
      <c r="H888" s="8"/>
      <c r="I888" s="41"/>
      <c r="J888" s="41"/>
      <c r="K888" s="41"/>
      <c r="L888" s="41"/>
      <c r="M888" s="2"/>
      <c r="N888" s="2"/>
      <c r="O888" s="2"/>
      <c r="P888" s="2"/>
      <c r="Q888" s="2"/>
      <c r="R888" s="2"/>
      <c r="S888" s="2"/>
      <c r="T888" s="2"/>
      <c r="U888" s="2"/>
    </row>
    <row r="889">
      <c r="A889" s="65"/>
      <c r="B889" s="65"/>
      <c r="C889" s="41"/>
      <c r="D889" s="41"/>
      <c r="E889" s="41"/>
      <c r="F889" s="41"/>
      <c r="G889" s="41"/>
      <c r="H889" s="8"/>
      <c r="I889" s="41"/>
      <c r="J889" s="41"/>
      <c r="K889" s="41"/>
      <c r="L889" s="41"/>
      <c r="M889" s="2"/>
      <c r="N889" s="2"/>
      <c r="O889" s="2"/>
      <c r="P889" s="2"/>
      <c r="Q889" s="2"/>
      <c r="R889" s="2"/>
      <c r="S889" s="2"/>
      <c r="T889" s="2"/>
      <c r="U889" s="2"/>
    </row>
    <row r="890">
      <c r="A890" s="65"/>
      <c r="B890" s="65"/>
      <c r="C890" s="41"/>
      <c r="D890" s="41"/>
      <c r="E890" s="41"/>
      <c r="F890" s="41"/>
      <c r="G890" s="41"/>
      <c r="H890" s="8"/>
      <c r="I890" s="41"/>
      <c r="J890" s="41"/>
      <c r="K890" s="41"/>
      <c r="L890" s="41"/>
      <c r="M890" s="2"/>
      <c r="N890" s="2"/>
      <c r="O890" s="2"/>
      <c r="P890" s="2"/>
      <c r="Q890" s="2"/>
      <c r="R890" s="2"/>
      <c r="S890" s="2"/>
      <c r="T890" s="2"/>
      <c r="U890" s="2"/>
    </row>
    <row r="891">
      <c r="A891" s="65"/>
      <c r="B891" s="65"/>
      <c r="C891" s="41"/>
      <c r="D891" s="41"/>
      <c r="E891" s="41"/>
      <c r="F891" s="41"/>
      <c r="G891" s="41"/>
      <c r="H891" s="8"/>
      <c r="I891" s="41"/>
      <c r="J891" s="41"/>
      <c r="K891" s="41"/>
      <c r="L891" s="41"/>
      <c r="M891" s="2"/>
      <c r="N891" s="2"/>
      <c r="O891" s="2"/>
      <c r="P891" s="2"/>
      <c r="Q891" s="2"/>
      <c r="R891" s="2"/>
      <c r="S891" s="2"/>
      <c r="T891" s="2"/>
      <c r="U891" s="2"/>
    </row>
    <row r="892">
      <c r="A892" s="65"/>
      <c r="B892" s="65"/>
      <c r="C892" s="41"/>
      <c r="D892" s="41"/>
      <c r="E892" s="41"/>
      <c r="F892" s="41"/>
      <c r="G892" s="41"/>
      <c r="H892" s="8"/>
      <c r="I892" s="41"/>
      <c r="J892" s="41"/>
      <c r="K892" s="41"/>
      <c r="L892" s="41"/>
      <c r="M892" s="2"/>
      <c r="N892" s="2"/>
      <c r="O892" s="2"/>
      <c r="P892" s="2"/>
      <c r="Q892" s="2"/>
      <c r="R892" s="2"/>
      <c r="S892" s="2"/>
      <c r="T892" s="2"/>
      <c r="U892" s="2"/>
    </row>
    <row r="893">
      <c r="A893" s="65"/>
      <c r="B893" s="65"/>
      <c r="C893" s="41"/>
      <c r="D893" s="41"/>
      <c r="E893" s="41"/>
      <c r="F893" s="41"/>
      <c r="G893" s="41"/>
      <c r="H893" s="8"/>
      <c r="I893" s="41"/>
      <c r="J893" s="41"/>
      <c r="K893" s="41"/>
      <c r="L893" s="41"/>
      <c r="M893" s="2"/>
      <c r="N893" s="2"/>
      <c r="O893" s="2"/>
      <c r="P893" s="2"/>
      <c r="Q893" s="2"/>
      <c r="R893" s="2"/>
      <c r="S893" s="2"/>
      <c r="T893" s="2"/>
      <c r="U893" s="2"/>
    </row>
    <row r="894">
      <c r="A894" s="65"/>
      <c r="B894" s="65"/>
      <c r="C894" s="41"/>
      <c r="D894" s="41"/>
      <c r="E894" s="41"/>
      <c r="F894" s="41"/>
      <c r="G894" s="41"/>
      <c r="H894" s="8"/>
      <c r="I894" s="41"/>
      <c r="J894" s="41"/>
      <c r="K894" s="41"/>
      <c r="L894" s="41"/>
      <c r="M894" s="2"/>
      <c r="N894" s="2"/>
      <c r="O894" s="2"/>
      <c r="P894" s="2"/>
      <c r="Q894" s="2"/>
      <c r="R894" s="2"/>
      <c r="S894" s="2"/>
      <c r="T894" s="2"/>
      <c r="U894" s="2"/>
    </row>
    <row r="895">
      <c r="A895" s="65"/>
      <c r="B895" s="65"/>
      <c r="C895" s="41"/>
      <c r="D895" s="41"/>
      <c r="E895" s="41"/>
      <c r="F895" s="41"/>
      <c r="G895" s="41"/>
      <c r="H895" s="8"/>
      <c r="I895" s="41"/>
      <c r="J895" s="41"/>
      <c r="K895" s="41"/>
      <c r="L895" s="41"/>
      <c r="M895" s="2"/>
      <c r="N895" s="2"/>
      <c r="O895" s="2"/>
      <c r="P895" s="2"/>
      <c r="Q895" s="2"/>
      <c r="R895" s="2"/>
      <c r="S895" s="2"/>
      <c r="T895" s="2"/>
      <c r="U895" s="2"/>
    </row>
    <row r="896">
      <c r="A896" s="65"/>
      <c r="B896" s="65"/>
      <c r="C896" s="41"/>
      <c r="D896" s="41"/>
      <c r="E896" s="41"/>
      <c r="F896" s="41"/>
      <c r="G896" s="41"/>
      <c r="H896" s="8"/>
      <c r="I896" s="41"/>
      <c r="J896" s="41"/>
      <c r="K896" s="41"/>
      <c r="L896" s="41"/>
      <c r="M896" s="2"/>
      <c r="N896" s="2"/>
      <c r="O896" s="2"/>
      <c r="P896" s="2"/>
      <c r="Q896" s="2"/>
      <c r="R896" s="2"/>
      <c r="S896" s="2"/>
      <c r="T896" s="2"/>
      <c r="U896" s="2"/>
    </row>
    <row r="897">
      <c r="A897" s="65"/>
      <c r="B897" s="65"/>
      <c r="C897" s="41"/>
      <c r="D897" s="41"/>
      <c r="E897" s="41"/>
      <c r="F897" s="41"/>
      <c r="G897" s="41"/>
      <c r="H897" s="8"/>
      <c r="I897" s="41"/>
      <c r="J897" s="41"/>
      <c r="K897" s="41"/>
      <c r="L897" s="41"/>
      <c r="M897" s="2"/>
      <c r="N897" s="2"/>
      <c r="O897" s="2"/>
      <c r="P897" s="2"/>
      <c r="Q897" s="2"/>
      <c r="R897" s="2"/>
      <c r="S897" s="2"/>
      <c r="T897" s="2"/>
      <c r="U897" s="2"/>
    </row>
    <row r="898">
      <c r="A898" s="65"/>
      <c r="B898" s="65"/>
      <c r="C898" s="41"/>
      <c r="D898" s="41"/>
      <c r="E898" s="41"/>
      <c r="F898" s="41"/>
      <c r="G898" s="41"/>
      <c r="H898" s="8"/>
      <c r="I898" s="41"/>
      <c r="J898" s="41"/>
      <c r="K898" s="41"/>
      <c r="L898" s="41"/>
      <c r="M898" s="2"/>
      <c r="N898" s="2"/>
      <c r="O898" s="2"/>
      <c r="P898" s="2"/>
      <c r="Q898" s="2"/>
      <c r="R898" s="2"/>
      <c r="S898" s="2"/>
      <c r="T898" s="2"/>
      <c r="U898" s="2"/>
    </row>
    <row r="899">
      <c r="A899" s="65"/>
      <c r="B899" s="65"/>
      <c r="C899" s="41"/>
      <c r="D899" s="41"/>
      <c r="E899" s="41"/>
      <c r="F899" s="41"/>
      <c r="G899" s="41"/>
      <c r="H899" s="8"/>
      <c r="I899" s="41"/>
      <c r="J899" s="41"/>
      <c r="K899" s="41"/>
      <c r="L899" s="41"/>
      <c r="M899" s="2"/>
      <c r="N899" s="2"/>
      <c r="O899" s="2"/>
      <c r="P899" s="2"/>
      <c r="Q899" s="2"/>
      <c r="R899" s="2"/>
      <c r="S899" s="2"/>
      <c r="T899" s="2"/>
      <c r="U899" s="2"/>
    </row>
    <row r="900">
      <c r="A900" s="65"/>
      <c r="B900" s="65"/>
      <c r="C900" s="41"/>
      <c r="D900" s="41"/>
      <c r="E900" s="41"/>
      <c r="F900" s="41"/>
      <c r="G900" s="41"/>
      <c r="H900" s="8"/>
      <c r="I900" s="41"/>
      <c r="J900" s="41"/>
      <c r="K900" s="41"/>
      <c r="L900" s="41"/>
      <c r="M900" s="2"/>
      <c r="N900" s="2"/>
      <c r="O900" s="2"/>
      <c r="P900" s="2"/>
      <c r="Q900" s="2"/>
      <c r="R900" s="2"/>
      <c r="S900" s="2"/>
      <c r="T900" s="2"/>
      <c r="U900" s="2"/>
    </row>
    <row r="901">
      <c r="A901" s="65"/>
      <c r="B901" s="65"/>
      <c r="C901" s="41"/>
      <c r="D901" s="41"/>
      <c r="E901" s="41"/>
      <c r="F901" s="41"/>
      <c r="G901" s="41"/>
      <c r="H901" s="8"/>
      <c r="I901" s="41"/>
      <c r="J901" s="41"/>
      <c r="K901" s="41"/>
      <c r="L901" s="41"/>
      <c r="M901" s="68"/>
      <c r="N901" s="68"/>
      <c r="O901" s="68"/>
      <c r="P901" s="68"/>
      <c r="Q901" s="68"/>
      <c r="R901" s="68"/>
      <c r="S901" s="68"/>
      <c r="T901" s="68"/>
      <c r="U901" s="68"/>
    </row>
    <row r="902">
      <c r="A902" s="65"/>
      <c r="B902" s="65"/>
      <c r="C902" s="41"/>
      <c r="D902" s="41"/>
      <c r="E902" s="41"/>
      <c r="F902" s="41"/>
      <c r="G902" s="41"/>
      <c r="H902" s="8"/>
      <c r="I902" s="41"/>
      <c r="J902" s="41"/>
      <c r="K902" s="41"/>
      <c r="L902" s="41"/>
      <c r="M902" s="68"/>
      <c r="N902" s="68"/>
      <c r="O902" s="68"/>
      <c r="P902" s="68"/>
      <c r="Q902" s="68"/>
      <c r="R902" s="68"/>
      <c r="S902" s="68"/>
      <c r="T902" s="68"/>
      <c r="U902" s="68"/>
    </row>
    <row r="903">
      <c r="A903" s="65"/>
      <c r="B903" s="65"/>
      <c r="C903" s="41"/>
      <c r="D903" s="41"/>
      <c r="E903" s="41"/>
      <c r="F903" s="41"/>
      <c r="G903" s="41"/>
      <c r="H903" s="8"/>
      <c r="I903" s="41"/>
      <c r="J903" s="41"/>
      <c r="K903" s="41"/>
      <c r="L903" s="41"/>
      <c r="M903" s="68"/>
      <c r="N903" s="68"/>
      <c r="O903" s="68"/>
      <c r="P903" s="68"/>
      <c r="Q903" s="68"/>
      <c r="R903" s="68"/>
      <c r="S903" s="68"/>
      <c r="T903" s="68"/>
      <c r="U903" s="68"/>
    </row>
    <row r="904">
      <c r="A904" s="65"/>
      <c r="B904" s="65"/>
      <c r="C904" s="41"/>
      <c r="D904" s="41"/>
      <c r="E904" s="41"/>
      <c r="F904" s="41"/>
      <c r="G904" s="41"/>
      <c r="H904" s="8"/>
      <c r="I904" s="41"/>
      <c r="J904" s="41"/>
      <c r="K904" s="41"/>
      <c r="L904" s="41"/>
      <c r="M904" s="2"/>
      <c r="N904" s="2"/>
      <c r="O904" s="2"/>
      <c r="P904" s="2"/>
      <c r="Q904" s="2"/>
      <c r="R904" s="2"/>
      <c r="S904" s="2"/>
      <c r="T904" s="2"/>
      <c r="U904" s="2"/>
    </row>
    <row r="905">
      <c r="A905" s="65"/>
      <c r="B905" s="65"/>
      <c r="C905" s="41"/>
      <c r="D905" s="41"/>
      <c r="E905" s="41"/>
      <c r="F905" s="41"/>
      <c r="G905" s="41"/>
      <c r="H905" s="8"/>
      <c r="I905" s="41"/>
      <c r="J905" s="41"/>
      <c r="K905" s="41"/>
      <c r="L905" s="41"/>
      <c r="M905" s="2"/>
      <c r="N905" s="2"/>
      <c r="O905" s="2"/>
      <c r="P905" s="2"/>
      <c r="Q905" s="2"/>
      <c r="R905" s="2"/>
      <c r="S905" s="2"/>
      <c r="T905" s="2"/>
      <c r="U905" s="2"/>
    </row>
    <row r="906">
      <c r="A906" s="65"/>
      <c r="B906" s="65"/>
      <c r="C906" s="41"/>
      <c r="D906" s="41"/>
      <c r="E906" s="41"/>
      <c r="F906" s="41"/>
      <c r="G906" s="41"/>
      <c r="H906" s="8"/>
      <c r="I906" s="41"/>
      <c r="J906" s="41"/>
      <c r="K906" s="41"/>
      <c r="L906" s="41"/>
      <c r="M906" s="2"/>
      <c r="N906" s="2"/>
      <c r="O906" s="2"/>
      <c r="P906" s="2"/>
      <c r="Q906" s="2"/>
      <c r="R906" s="2"/>
      <c r="S906" s="2"/>
      <c r="T906" s="2"/>
      <c r="U906" s="2"/>
    </row>
    <row r="907">
      <c r="A907" s="65"/>
      <c r="B907" s="65"/>
      <c r="C907" s="41"/>
      <c r="D907" s="41"/>
      <c r="E907" s="41"/>
      <c r="F907" s="41"/>
      <c r="G907" s="41"/>
      <c r="H907" s="8"/>
      <c r="I907" s="41"/>
      <c r="J907" s="41"/>
      <c r="K907" s="41"/>
      <c r="L907" s="41"/>
      <c r="M907" s="2"/>
      <c r="N907" s="2"/>
      <c r="O907" s="2"/>
      <c r="P907" s="2"/>
      <c r="Q907" s="2"/>
      <c r="R907" s="2"/>
      <c r="S907" s="2"/>
      <c r="T907" s="2"/>
      <c r="U907" s="2"/>
    </row>
    <row r="908">
      <c r="A908" s="65"/>
      <c r="B908" s="65"/>
      <c r="C908" s="41"/>
      <c r="D908" s="41"/>
      <c r="E908" s="41"/>
      <c r="F908" s="41"/>
      <c r="G908" s="41"/>
      <c r="H908" s="8"/>
      <c r="I908" s="41"/>
      <c r="J908" s="41"/>
      <c r="K908" s="41"/>
      <c r="L908" s="41"/>
      <c r="M908" s="2"/>
      <c r="N908" s="2"/>
      <c r="O908" s="2"/>
      <c r="P908" s="2"/>
      <c r="Q908" s="2"/>
      <c r="R908" s="2"/>
      <c r="S908" s="2"/>
      <c r="T908" s="2"/>
      <c r="U908" s="2"/>
    </row>
    <row r="909">
      <c r="A909" s="65"/>
      <c r="B909" s="65"/>
      <c r="C909" s="41"/>
      <c r="D909" s="41"/>
      <c r="E909" s="41"/>
      <c r="F909" s="41"/>
      <c r="G909" s="41"/>
      <c r="H909" s="8"/>
      <c r="I909" s="41"/>
      <c r="J909" s="41"/>
      <c r="K909" s="41"/>
      <c r="L909" s="41"/>
      <c r="M909" s="2"/>
      <c r="N909" s="2"/>
      <c r="O909" s="2"/>
      <c r="P909" s="2"/>
      <c r="Q909" s="2"/>
      <c r="R909" s="2"/>
      <c r="S909" s="2"/>
      <c r="T909" s="2"/>
      <c r="U909" s="2"/>
    </row>
    <row r="910">
      <c r="A910" s="65"/>
      <c r="B910" s="65"/>
      <c r="C910" s="41"/>
      <c r="D910" s="41"/>
      <c r="E910" s="41"/>
      <c r="F910" s="41"/>
      <c r="G910" s="41"/>
      <c r="H910" s="8"/>
      <c r="I910" s="41"/>
      <c r="J910" s="41"/>
      <c r="K910" s="41"/>
      <c r="L910" s="41"/>
      <c r="M910" s="2"/>
      <c r="N910" s="2"/>
      <c r="O910" s="2"/>
      <c r="P910" s="2"/>
      <c r="Q910" s="2"/>
      <c r="R910" s="2"/>
      <c r="S910" s="2"/>
      <c r="T910" s="2"/>
      <c r="U910" s="2"/>
    </row>
    <row r="911">
      <c r="A911" s="65"/>
      <c r="B911" s="65"/>
      <c r="C911" s="41"/>
      <c r="D911" s="41"/>
      <c r="E911" s="41"/>
      <c r="F911" s="41"/>
      <c r="G911" s="41"/>
      <c r="H911" s="8"/>
      <c r="I911" s="41"/>
      <c r="J911" s="41"/>
      <c r="K911" s="41"/>
      <c r="L911" s="41"/>
      <c r="M911" s="2"/>
      <c r="N911" s="2"/>
      <c r="O911" s="2"/>
      <c r="P911" s="2"/>
      <c r="Q911" s="2"/>
      <c r="R911" s="2"/>
      <c r="S911" s="2"/>
      <c r="T911" s="2"/>
      <c r="U911" s="2"/>
    </row>
    <row r="912">
      <c r="A912" s="65"/>
      <c r="B912" s="65"/>
      <c r="C912" s="41"/>
      <c r="D912" s="41"/>
      <c r="E912" s="41"/>
      <c r="F912" s="41"/>
      <c r="G912" s="41"/>
      <c r="H912" s="8"/>
      <c r="I912" s="41"/>
      <c r="J912" s="41"/>
      <c r="K912" s="41"/>
      <c r="L912" s="41"/>
      <c r="M912" s="2"/>
      <c r="N912" s="2"/>
      <c r="O912" s="2"/>
      <c r="P912" s="2"/>
      <c r="Q912" s="2"/>
      <c r="R912" s="2"/>
      <c r="S912" s="2"/>
      <c r="T912" s="2"/>
      <c r="U912" s="2"/>
    </row>
    <row r="913">
      <c r="A913" s="65"/>
      <c r="B913" s="65"/>
      <c r="C913" s="41"/>
      <c r="D913" s="41"/>
      <c r="E913" s="41"/>
      <c r="F913" s="41"/>
      <c r="G913" s="41"/>
      <c r="H913" s="8"/>
      <c r="I913" s="41"/>
      <c r="J913" s="41"/>
      <c r="K913" s="41"/>
      <c r="L913" s="41"/>
      <c r="M913" s="2"/>
      <c r="N913" s="2"/>
      <c r="O913" s="2"/>
      <c r="P913" s="2"/>
      <c r="Q913" s="2"/>
      <c r="R913" s="2"/>
      <c r="S913" s="2"/>
      <c r="T913" s="2"/>
      <c r="U913" s="2"/>
    </row>
    <row r="914">
      <c r="A914" s="69"/>
      <c r="B914" s="69"/>
      <c r="C914" s="70"/>
      <c r="D914" s="70"/>
      <c r="E914" s="70"/>
      <c r="F914" s="70"/>
      <c r="G914" s="70"/>
      <c r="H914" s="71"/>
      <c r="I914" s="70"/>
      <c r="J914" s="70"/>
      <c r="K914" s="70"/>
      <c r="L914" s="70"/>
      <c r="M914" s="2"/>
      <c r="N914" s="2"/>
      <c r="O914" s="2"/>
      <c r="P914" s="2"/>
      <c r="Q914" s="2"/>
      <c r="R914" s="2"/>
      <c r="S914" s="2"/>
      <c r="T914" s="2"/>
      <c r="U914" s="2"/>
    </row>
    <row r="915">
      <c r="A915" s="69"/>
      <c r="B915" s="69"/>
      <c r="C915" s="70"/>
      <c r="D915" s="70"/>
      <c r="E915" s="70"/>
      <c r="F915" s="70"/>
      <c r="G915" s="70"/>
      <c r="H915" s="71"/>
      <c r="I915" s="70"/>
      <c r="J915" s="70"/>
      <c r="K915" s="70"/>
      <c r="L915" s="70"/>
      <c r="M915" s="2"/>
      <c r="N915" s="2"/>
      <c r="O915" s="2"/>
      <c r="P915" s="2"/>
      <c r="Q915" s="2"/>
      <c r="R915" s="2"/>
      <c r="S915" s="2"/>
      <c r="T915" s="2"/>
      <c r="U915" s="2"/>
    </row>
    <row r="916">
      <c r="A916" s="69"/>
      <c r="B916" s="69"/>
      <c r="C916" s="71"/>
      <c r="D916" s="71"/>
      <c r="E916" s="71"/>
      <c r="F916" s="71"/>
      <c r="G916" s="71"/>
      <c r="H916" s="71"/>
      <c r="I916" s="71"/>
      <c r="J916" s="71"/>
      <c r="K916" s="71"/>
      <c r="L916" s="70"/>
      <c r="M916" s="2"/>
      <c r="N916" s="2"/>
      <c r="O916" s="2"/>
      <c r="P916" s="2"/>
      <c r="Q916" s="2"/>
      <c r="R916" s="2"/>
      <c r="S916" s="2"/>
      <c r="T916" s="2"/>
      <c r="U916" s="2"/>
    </row>
    <row r="917">
      <c r="A917" s="69"/>
      <c r="B917" s="69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2"/>
      <c r="N917" s="2"/>
      <c r="O917" s="2"/>
      <c r="P917" s="2"/>
      <c r="Q917" s="2"/>
      <c r="R917" s="2"/>
      <c r="S917" s="2"/>
      <c r="T917" s="2"/>
      <c r="U917" s="2"/>
    </row>
    <row r="918">
      <c r="A918" s="69"/>
      <c r="B918" s="69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2"/>
      <c r="N918" s="2"/>
      <c r="O918" s="2"/>
      <c r="P918" s="2"/>
      <c r="Q918" s="2"/>
      <c r="R918" s="2"/>
      <c r="S918" s="2"/>
      <c r="T918" s="2"/>
      <c r="U918" s="2"/>
    </row>
    <row r="919">
      <c r="A919" s="72"/>
      <c r="B919" s="72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2"/>
      <c r="N919" s="2"/>
      <c r="O919" s="2"/>
      <c r="P919" s="2"/>
      <c r="Q919" s="2"/>
      <c r="R919" s="2"/>
      <c r="S919" s="2"/>
      <c r="T919" s="2"/>
      <c r="U919" s="2"/>
    </row>
    <row r="920">
      <c r="A920" s="72"/>
      <c r="B920" s="72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2"/>
      <c r="N920" s="2"/>
      <c r="O920" s="2"/>
      <c r="P920" s="2"/>
      <c r="Q920" s="2"/>
      <c r="R920" s="2"/>
      <c r="S920" s="2"/>
      <c r="T920" s="2"/>
      <c r="U920" s="2"/>
    </row>
    <row r="921">
      <c r="A921" s="69"/>
      <c r="B921" s="69"/>
      <c r="C921" s="70"/>
      <c r="D921" s="70"/>
      <c r="E921" s="70"/>
      <c r="F921" s="70"/>
      <c r="G921" s="70"/>
      <c r="H921" s="71"/>
      <c r="I921" s="70"/>
      <c r="J921" s="70"/>
      <c r="K921" s="70"/>
      <c r="L921" s="70"/>
      <c r="M921" s="5"/>
      <c r="N921" s="5"/>
      <c r="O921" s="5"/>
      <c r="P921" s="5"/>
      <c r="Q921" s="5"/>
      <c r="R921" s="5"/>
      <c r="S921" s="5"/>
      <c r="T921" s="5"/>
      <c r="U921" s="5"/>
    </row>
    <row r="922">
      <c r="A922" s="69"/>
      <c r="B922" s="69"/>
      <c r="C922" s="70"/>
      <c r="D922" s="70"/>
      <c r="E922" s="70"/>
      <c r="F922" s="70"/>
      <c r="G922" s="70"/>
      <c r="H922" s="71"/>
      <c r="I922" s="70"/>
      <c r="J922" s="70"/>
      <c r="K922" s="70"/>
      <c r="L922" s="70"/>
      <c r="M922" s="2"/>
      <c r="N922" s="2"/>
      <c r="O922" s="2"/>
      <c r="P922" s="2"/>
      <c r="Q922" s="2"/>
      <c r="R922" s="2"/>
      <c r="S922" s="2"/>
      <c r="T922" s="2"/>
      <c r="U922" s="2"/>
    </row>
    <row r="923">
      <c r="A923" s="69"/>
      <c r="B923" s="69"/>
      <c r="C923" s="70"/>
      <c r="D923" s="70"/>
      <c r="E923" s="70"/>
      <c r="F923" s="70"/>
      <c r="G923" s="70"/>
      <c r="H923" s="71"/>
      <c r="I923" s="70"/>
      <c r="J923" s="70"/>
      <c r="K923" s="70"/>
      <c r="L923" s="71"/>
      <c r="M923" s="2"/>
      <c r="N923" s="2"/>
      <c r="O923" s="2"/>
      <c r="P923" s="2"/>
      <c r="Q923" s="2"/>
      <c r="R923" s="2"/>
      <c r="S923" s="2"/>
      <c r="T923" s="2"/>
      <c r="U923" s="2"/>
    </row>
    <row r="924">
      <c r="A924" s="72"/>
      <c r="B924" s="72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2"/>
      <c r="N924" s="2"/>
      <c r="O924" s="2"/>
      <c r="P924" s="2"/>
      <c r="Q924" s="2"/>
      <c r="R924" s="2"/>
      <c r="S924" s="2"/>
      <c r="T924" s="2"/>
      <c r="U924" s="2"/>
    </row>
    <row r="925">
      <c r="A925" s="69"/>
      <c r="B925" s="69"/>
      <c r="C925" s="70"/>
      <c r="D925" s="70"/>
      <c r="E925" s="70"/>
      <c r="F925" s="70"/>
      <c r="G925" s="70"/>
      <c r="H925" s="71"/>
      <c r="I925" s="70"/>
      <c r="J925" s="70"/>
      <c r="K925" s="70"/>
      <c r="L925" s="70"/>
      <c r="M925" s="5"/>
      <c r="N925" s="5"/>
      <c r="O925" s="5"/>
      <c r="P925" s="5"/>
      <c r="Q925" s="5"/>
      <c r="R925" s="5"/>
      <c r="S925" s="5"/>
      <c r="T925" s="5"/>
      <c r="U925" s="5"/>
    </row>
    <row r="926">
      <c r="A926" s="69"/>
      <c r="B926" s="69"/>
      <c r="C926" s="70"/>
      <c r="D926" s="70"/>
      <c r="E926" s="70"/>
      <c r="F926" s="70"/>
      <c r="G926" s="70"/>
      <c r="H926" s="71"/>
      <c r="I926" s="70"/>
      <c r="J926" s="70"/>
      <c r="K926" s="70"/>
      <c r="L926" s="70"/>
      <c r="M926" s="5"/>
      <c r="N926" s="5"/>
      <c r="O926" s="5"/>
      <c r="P926" s="5"/>
      <c r="Q926" s="5"/>
      <c r="R926" s="5"/>
      <c r="S926" s="5"/>
      <c r="T926" s="5"/>
      <c r="U926" s="5"/>
    </row>
    <row r="927">
      <c r="A927" s="69"/>
      <c r="B927" s="69"/>
      <c r="C927" s="70"/>
      <c r="D927" s="70"/>
      <c r="E927" s="70"/>
      <c r="F927" s="70"/>
      <c r="G927" s="70"/>
      <c r="H927" s="71"/>
      <c r="I927" s="70"/>
      <c r="J927" s="70"/>
      <c r="K927" s="70"/>
      <c r="L927" s="71"/>
      <c r="M927" s="5"/>
      <c r="N927" s="5"/>
      <c r="O927" s="5"/>
      <c r="P927" s="5"/>
      <c r="Q927" s="5"/>
      <c r="R927" s="5"/>
      <c r="S927" s="5"/>
      <c r="T927" s="5"/>
      <c r="U927" s="5"/>
    </row>
    <row r="928">
      <c r="A928" s="72"/>
      <c r="B928" s="72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2"/>
      <c r="N928" s="2"/>
      <c r="O928" s="2"/>
      <c r="P928" s="2"/>
      <c r="Q928" s="2"/>
      <c r="R928" s="2"/>
      <c r="S928" s="2"/>
      <c r="T928" s="2"/>
      <c r="U928" s="2"/>
    </row>
    <row r="929">
      <c r="A929" s="72"/>
      <c r="B929" s="72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2"/>
      <c r="N929" s="2"/>
      <c r="O929" s="2"/>
      <c r="P929" s="2"/>
      <c r="Q929" s="2"/>
      <c r="R929" s="2"/>
      <c r="S929" s="2"/>
      <c r="T929" s="2"/>
      <c r="U929" s="2"/>
    </row>
    <row r="930">
      <c r="A930" s="72"/>
      <c r="B930" s="72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2"/>
      <c r="N930" s="2"/>
      <c r="O930" s="2"/>
      <c r="P930" s="2"/>
      <c r="Q930" s="2"/>
      <c r="R930" s="2"/>
      <c r="S930" s="2"/>
      <c r="T930" s="2"/>
      <c r="U930" s="2"/>
    </row>
    <row r="931">
      <c r="A931" s="72"/>
      <c r="B931" s="72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2"/>
      <c r="N931" s="2"/>
      <c r="O931" s="2"/>
      <c r="P931" s="2"/>
      <c r="Q931" s="2"/>
      <c r="R931" s="2"/>
      <c r="S931" s="2"/>
      <c r="T931" s="2"/>
      <c r="U931" s="2"/>
    </row>
    <row r="932">
      <c r="A932" s="72"/>
      <c r="B932" s="72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2"/>
      <c r="N932" s="2"/>
      <c r="O932" s="2"/>
      <c r="P932" s="2"/>
      <c r="Q932" s="2"/>
      <c r="R932" s="2"/>
      <c r="S932" s="2"/>
      <c r="T932" s="2"/>
      <c r="U932" s="2"/>
    </row>
    <row r="933">
      <c r="A933" s="72"/>
      <c r="B933" s="72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2"/>
      <c r="N933" s="2"/>
      <c r="O933" s="2"/>
      <c r="P933" s="2"/>
      <c r="Q933" s="2"/>
      <c r="R933" s="2"/>
      <c r="S933" s="2"/>
      <c r="T933" s="2"/>
      <c r="U933" s="2"/>
    </row>
    <row r="934">
      <c r="A934" s="72"/>
      <c r="B934" s="72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2"/>
      <c r="N934" s="2"/>
      <c r="O934" s="2"/>
      <c r="P934" s="2"/>
      <c r="Q934" s="2"/>
      <c r="R934" s="2"/>
      <c r="S934" s="2"/>
      <c r="T934" s="2"/>
      <c r="U934" s="2"/>
    </row>
    <row r="935">
      <c r="A935" s="72"/>
      <c r="B935" s="72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2"/>
      <c r="N935" s="2"/>
      <c r="O935" s="2"/>
      <c r="P935" s="2"/>
      <c r="Q935" s="2"/>
      <c r="R935" s="2"/>
      <c r="S935" s="2"/>
      <c r="T935" s="2"/>
      <c r="U935" s="2"/>
    </row>
    <row r="936">
      <c r="A936" s="72"/>
      <c r="B936" s="72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2"/>
      <c r="N936" s="2"/>
      <c r="O936" s="2"/>
      <c r="P936" s="2"/>
      <c r="Q936" s="2"/>
      <c r="R936" s="2"/>
      <c r="S936" s="2"/>
      <c r="T936" s="2"/>
      <c r="U936" s="2"/>
    </row>
    <row r="937">
      <c r="A937" s="72"/>
      <c r="B937" s="72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2"/>
      <c r="N937" s="2"/>
      <c r="O937" s="2"/>
      <c r="P937" s="2"/>
      <c r="Q937" s="2"/>
      <c r="R937" s="2"/>
      <c r="S937" s="2"/>
      <c r="T937" s="2"/>
      <c r="U937" s="2"/>
    </row>
    <row r="938">
      <c r="A938" s="72"/>
      <c r="B938" s="72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2"/>
      <c r="N938" s="2"/>
      <c r="O938" s="2"/>
      <c r="P938" s="2"/>
      <c r="Q938" s="2"/>
      <c r="R938" s="2"/>
      <c r="S938" s="2"/>
      <c r="T938" s="2"/>
      <c r="U938" s="2"/>
    </row>
    <row r="939">
      <c r="A939" s="72"/>
      <c r="B939" s="72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2"/>
      <c r="N939" s="2"/>
      <c r="O939" s="2"/>
      <c r="P939" s="2"/>
      <c r="Q939" s="2"/>
      <c r="R939" s="2"/>
      <c r="S939" s="2"/>
      <c r="T939" s="2"/>
      <c r="U939" s="2"/>
    </row>
    <row r="940">
      <c r="A940" s="72"/>
      <c r="B940" s="72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2"/>
      <c r="N940" s="2"/>
      <c r="O940" s="2"/>
      <c r="P940" s="2"/>
      <c r="Q940" s="2"/>
      <c r="R940" s="2"/>
      <c r="S940" s="2"/>
      <c r="T940" s="2"/>
      <c r="U940" s="2"/>
    </row>
    <row r="941">
      <c r="A941" s="72"/>
      <c r="B941" s="72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2"/>
      <c r="N941" s="2"/>
      <c r="O941" s="2"/>
      <c r="P941" s="2"/>
      <c r="Q941" s="2"/>
      <c r="R941" s="2"/>
      <c r="S941" s="2"/>
      <c r="T941" s="2"/>
      <c r="U941" s="2"/>
    </row>
    <row r="942">
      <c r="A942" s="72"/>
      <c r="B942" s="72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2"/>
      <c r="N942" s="2"/>
      <c r="O942" s="2"/>
      <c r="P942" s="2"/>
      <c r="Q942" s="2"/>
      <c r="R942" s="2"/>
      <c r="S942" s="2"/>
      <c r="T942" s="2"/>
      <c r="U942" s="2"/>
    </row>
    <row r="943">
      <c r="A943" s="72"/>
      <c r="B943" s="72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2"/>
      <c r="N943" s="2"/>
      <c r="O943" s="2"/>
      <c r="P943" s="2"/>
      <c r="Q943" s="2"/>
      <c r="R943" s="2"/>
      <c r="S943" s="2"/>
      <c r="T943" s="2"/>
      <c r="U943" s="2"/>
    </row>
    <row r="944">
      <c r="A944" s="72"/>
      <c r="B944" s="72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2"/>
      <c r="N944" s="2"/>
      <c r="O944" s="2"/>
      <c r="P944" s="2"/>
      <c r="Q944" s="2"/>
      <c r="R944" s="2"/>
      <c r="S944" s="2"/>
      <c r="T944" s="2"/>
      <c r="U944" s="2"/>
    </row>
    <row r="945">
      <c r="A945" s="72"/>
      <c r="B945" s="72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2"/>
      <c r="N945" s="2"/>
      <c r="O945" s="2"/>
      <c r="P945" s="2"/>
      <c r="Q945" s="2"/>
      <c r="R945" s="2"/>
      <c r="S945" s="2"/>
      <c r="T945" s="2"/>
      <c r="U945" s="2"/>
    </row>
    <row r="946">
      <c r="A946" s="72"/>
      <c r="B946" s="72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2"/>
      <c r="N946" s="2"/>
      <c r="O946" s="2"/>
      <c r="P946" s="2"/>
      <c r="Q946" s="2"/>
      <c r="R946" s="2"/>
      <c r="S946" s="2"/>
      <c r="T946" s="2"/>
      <c r="U946" s="2"/>
    </row>
    <row r="947">
      <c r="A947" s="72"/>
      <c r="B947" s="72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2"/>
      <c r="N947" s="2"/>
      <c r="O947" s="2"/>
      <c r="P947" s="2"/>
      <c r="Q947" s="2"/>
      <c r="R947" s="2"/>
      <c r="S947" s="2"/>
      <c r="T947" s="2"/>
      <c r="U947" s="2"/>
    </row>
    <row r="948">
      <c r="A948" s="72"/>
      <c r="B948" s="72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2"/>
      <c r="N948" s="2"/>
      <c r="O948" s="2"/>
      <c r="P948" s="2"/>
      <c r="Q948" s="2"/>
      <c r="R948" s="2"/>
      <c r="S948" s="2"/>
      <c r="T948" s="2"/>
      <c r="U948" s="2"/>
    </row>
    <row r="949">
      <c r="A949" s="72"/>
      <c r="B949" s="72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2"/>
      <c r="N949" s="2"/>
      <c r="O949" s="2"/>
      <c r="P949" s="2"/>
      <c r="Q949" s="2"/>
      <c r="R949" s="2"/>
      <c r="S949" s="2"/>
      <c r="T949" s="2"/>
      <c r="U949" s="2"/>
    </row>
    <row r="950">
      <c r="A950" s="72"/>
      <c r="B950" s="72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2"/>
      <c r="N950" s="2"/>
      <c r="O950" s="2"/>
      <c r="P950" s="2"/>
      <c r="Q950" s="2"/>
      <c r="R950" s="2"/>
      <c r="S950" s="2"/>
      <c r="T950" s="2"/>
      <c r="U950" s="2"/>
    </row>
    <row r="951">
      <c r="A951" s="72"/>
      <c r="B951" s="72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2"/>
      <c r="N951" s="2"/>
      <c r="O951" s="2"/>
      <c r="P951" s="2"/>
      <c r="Q951" s="2"/>
      <c r="R951" s="2"/>
      <c r="S951" s="2"/>
      <c r="T951" s="2"/>
      <c r="U951" s="2"/>
    </row>
    <row r="952">
      <c r="A952" s="72"/>
      <c r="B952" s="72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2"/>
      <c r="N952" s="2"/>
      <c r="O952" s="2"/>
      <c r="P952" s="2"/>
      <c r="Q952" s="2"/>
      <c r="R952" s="2"/>
      <c r="S952" s="2"/>
      <c r="T952" s="2"/>
      <c r="U952" s="2"/>
    </row>
    <row r="953">
      <c r="A953" s="72"/>
      <c r="B953" s="72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2"/>
      <c r="N953" s="2"/>
      <c r="O953" s="2"/>
      <c r="P953" s="2"/>
      <c r="Q953" s="2"/>
      <c r="R953" s="2"/>
      <c r="S953" s="2"/>
      <c r="T953" s="2"/>
      <c r="U953" s="2"/>
    </row>
    <row r="954">
      <c r="A954" s="72"/>
      <c r="B954" s="72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2"/>
      <c r="N954" s="2"/>
      <c r="O954" s="2"/>
      <c r="P954" s="2"/>
      <c r="Q954" s="2"/>
      <c r="R954" s="2"/>
      <c r="S954" s="2"/>
      <c r="T954" s="2"/>
      <c r="U954" s="2"/>
    </row>
    <row r="955">
      <c r="A955" s="72"/>
      <c r="B955" s="72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2"/>
      <c r="N955" s="2"/>
      <c r="O955" s="2"/>
      <c r="P955" s="2"/>
      <c r="Q955" s="2"/>
      <c r="R955" s="2"/>
      <c r="S955" s="2"/>
      <c r="T955" s="2"/>
      <c r="U955" s="2"/>
    </row>
    <row r="956">
      <c r="A956" s="72"/>
      <c r="B956" s="72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2"/>
      <c r="N956" s="2"/>
      <c r="O956" s="2"/>
      <c r="P956" s="2"/>
      <c r="Q956" s="2"/>
      <c r="R956" s="2"/>
      <c r="S956" s="2"/>
      <c r="T956" s="2"/>
      <c r="U956" s="2"/>
    </row>
    <row r="957">
      <c r="A957" s="72"/>
      <c r="B957" s="72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2"/>
      <c r="N957" s="2"/>
      <c r="O957" s="2"/>
      <c r="P957" s="2"/>
      <c r="Q957" s="2"/>
      <c r="R957" s="2"/>
      <c r="S957" s="2"/>
      <c r="T957" s="2"/>
      <c r="U957" s="2"/>
    </row>
    <row r="958">
      <c r="A958" s="72"/>
      <c r="B958" s="72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2"/>
      <c r="N958" s="2"/>
      <c r="O958" s="2"/>
      <c r="P958" s="2"/>
      <c r="Q958" s="2"/>
      <c r="R958" s="2"/>
      <c r="S958" s="2"/>
      <c r="T958" s="2"/>
      <c r="U958" s="2"/>
    </row>
    <row r="959">
      <c r="A959" s="72"/>
      <c r="B959" s="72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2"/>
      <c r="N959" s="2"/>
      <c r="O959" s="2"/>
      <c r="P959" s="2"/>
      <c r="Q959" s="2"/>
      <c r="R959" s="2"/>
      <c r="S959" s="2"/>
      <c r="T959" s="2"/>
      <c r="U959" s="2"/>
    </row>
    <row r="960">
      <c r="A960" s="72"/>
      <c r="B960" s="72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2"/>
      <c r="N960" s="2"/>
      <c r="O960" s="2"/>
      <c r="P960" s="2"/>
      <c r="Q960" s="2"/>
      <c r="R960" s="2"/>
      <c r="S960" s="2"/>
      <c r="T960" s="2"/>
      <c r="U960" s="2"/>
    </row>
    <row r="961">
      <c r="A961" s="72"/>
      <c r="B961" s="72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2"/>
      <c r="N961" s="2"/>
      <c r="O961" s="2"/>
      <c r="P961" s="2"/>
      <c r="Q961" s="2"/>
      <c r="R961" s="2"/>
      <c r="S961" s="2"/>
      <c r="T961" s="2"/>
      <c r="U961" s="2"/>
    </row>
    <row r="962">
      <c r="A962" s="72"/>
      <c r="B962" s="72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2"/>
      <c r="N962" s="2"/>
      <c r="O962" s="2"/>
      <c r="P962" s="2"/>
      <c r="Q962" s="2"/>
      <c r="R962" s="2"/>
      <c r="S962" s="2"/>
      <c r="T962" s="2"/>
      <c r="U962" s="2"/>
    </row>
    <row r="963">
      <c r="A963" s="72"/>
      <c r="B963" s="72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2"/>
      <c r="N963" s="2"/>
      <c r="O963" s="2"/>
      <c r="P963" s="2"/>
      <c r="Q963" s="2"/>
      <c r="R963" s="2"/>
      <c r="S963" s="2"/>
      <c r="T963" s="2"/>
      <c r="U963" s="2"/>
    </row>
    <row r="964">
      <c r="A964" s="72"/>
      <c r="B964" s="72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2"/>
      <c r="N964" s="2"/>
      <c r="O964" s="2"/>
      <c r="P964" s="2"/>
      <c r="Q964" s="2"/>
      <c r="R964" s="2"/>
      <c r="S964" s="2"/>
      <c r="T964" s="2"/>
      <c r="U964" s="2"/>
    </row>
    <row r="965">
      <c r="A965" s="72"/>
      <c r="B965" s="72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2"/>
      <c r="N965" s="2"/>
      <c r="O965" s="2"/>
      <c r="P965" s="2"/>
      <c r="Q965" s="2"/>
      <c r="R965" s="2"/>
      <c r="S965" s="2"/>
      <c r="T965" s="2"/>
      <c r="U965" s="2"/>
    </row>
    <row r="966">
      <c r="A966" s="72"/>
      <c r="B966" s="72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2"/>
      <c r="N966" s="2"/>
      <c r="O966" s="2"/>
      <c r="P966" s="2"/>
      <c r="Q966" s="2"/>
      <c r="R966" s="2"/>
      <c r="S966" s="2"/>
      <c r="T966" s="2"/>
      <c r="U966" s="2"/>
    </row>
    <row r="967">
      <c r="A967" s="72"/>
      <c r="B967" s="72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2"/>
      <c r="N967" s="2"/>
      <c r="O967" s="2"/>
      <c r="P967" s="2"/>
      <c r="Q967" s="2"/>
      <c r="R967" s="2"/>
      <c r="S967" s="2"/>
      <c r="T967" s="2"/>
      <c r="U967" s="2"/>
    </row>
    <row r="968">
      <c r="A968" s="72"/>
      <c r="B968" s="72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2"/>
      <c r="N968" s="2"/>
      <c r="O968" s="2"/>
      <c r="P968" s="2"/>
      <c r="Q968" s="2"/>
      <c r="R968" s="2"/>
      <c r="S968" s="2"/>
      <c r="T968" s="2"/>
      <c r="U968" s="2"/>
    </row>
    <row r="969">
      <c r="A969" s="72"/>
      <c r="B969" s="72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2"/>
      <c r="N969" s="2"/>
      <c r="O969" s="2"/>
      <c r="P969" s="2"/>
      <c r="Q969" s="2"/>
      <c r="R969" s="2"/>
      <c r="S969" s="2"/>
      <c r="T969" s="2"/>
      <c r="U969" s="2"/>
    </row>
    <row r="970">
      <c r="A970" s="72"/>
      <c r="B970" s="72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2"/>
      <c r="N970" s="2"/>
      <c r="O970" s="2"/>
      <c r="P970" s="2"/>
      <c r="Q970" s="2"/>
      <c r="R970" s="2"/>
      <c r="S970" s="2"/>
      <c r="T970" s="2"/>
      <c r="U970" s="2"/>
    </row>
    <row r="971">
      <c r="A971" s="72"/>
      <c r="B971" s="72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2"/>
      <c r="N971" s="2"/>
      <c r="O971" s="2"/>
      <c r="P971" s="2"/>
      <c r="Q971" s="2"/>
      <c r="R971" s="2"/>
      <c r="S971" s="2"/>
      <c r="T971" s="2"/>
      <c r="U971" s="2"/>
    </row>
    <row r="972">
      <c r="A972" s="72"/>
      <c r="B972" s="72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2"/>
      <c r="N972" s="2"/>
      <c r="O972" s="2"/>
      <c r="P972" s="2"/>
      <c r="Q972" s="2"/>
      <c r="R972" s="2"/>
      <c r="S972" s="2"/>
      <c r="T972" s="2"/>
      <c r="U972" s="2"/>
    </row>
    <row r="973">
      <c r="A973" s="72"/>
      <c r="B973" s="72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2"/>
      <c r="N973" s="2"/>
      <c r="O973" s="2"/>
      <c r="P973" s="2"/>
      <c r="Q973" s="2"/>
      <c r="R973" s="2"/>
      <c r="S973" s="2"/>
      <c r="T973" s="2"/>
      <c r="U973" s="2"/>
    </row>
    <row r="974">
      <c r="A974" s="72"/>
      <c r="B974" s="72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2"/>
      <c r="N974" s="2"/>
      <c r="O974" s="2"/>
      <c r="P974" s="2"/>
      <c r="Q974" s="2"/>
      <c r="R974" s="2"/>
      <c r="S974" s="2"/>
      <c r="T974" s="2"/>
      <c r="U974" s="2"/>
    </row>
    <row r="975">
      <c r="A975" s="72"/>
      <c r="B975" s="72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2"/>
      <c r="N975" s="2"/>
      <c r="O975" s="2"/>
      <c r="P975" s="2"/>
      <c r="Q975" s="2"/>
      <c r="R975" s="2"/>
      <c r="S975" s="2"/>
      <c r="T975" s="2"/>
      <c r="U975" s="2"/>
    </row>
    <row r="976">
      <c r="A976" s="72"/>
      <c r="B976" s="72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2"/>
      <c r="N976" s="2"/>
      <c r="O976" s="2"/>
      <c r="P976" s="2"/>
      <c r="Q976" s="2"/>
      <c r="R976" s="2"/>
      <c r="S976" s="2"/>
      <c r="T976" s="2"/>
      <c r="U976" s="2"/>
    </row>
    <row r="977">
      <c r="A977" s="72"/>
      <c r="B977" s="72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2"/>
      <c r="N977" s="2"/>
      <c r="O977" s="2"/>
      <c r="P977" s="2"/>
      <c r="Q977" s="2"/>
      <c r="R977" s="2"/>
      <c r="S977" s="2"/>
      <c r="T977" s="2"/>
      <c r="U977" s="2"/>
    </row>
    <row r="978">
      <c r="A978" s="72"/>
      <c r="B978" s="72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2"/>
      <c r="N978" s="2"/>
      <c r="O978" s="2"/>
      <c r="P978" s="2"/>
      <c r="Q978" s="2"/>
      <c r="R978" s="2"/>
      <c r="S978" s="2"/>
      <c r="T978" s="2"/>
      <c r="U978" s="2"/>
    </row>
    <row r="979">
      <c r="A979" s="72"/>
      <c r="B979" s="72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2"/>
      <c r="N979" s="2"/>
      <c r="O979" s="2"/>
      <c r="P979" s="2"/>
      <c r="Q979" s="2"/>
      <c r="R979" s="2"/>
      <c r="S979" s="2"/>
      <c r="T979" s="2"/>
      <c r="U979" s="2"/>
    </row>
    <row r="980">
      <c r="A980" s="72"/>
      <c r="B980" s="72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2"/>
      <c r="N980" s="2"/>
      <c r="O980" s="2"/>
      <c r="P980" s="2"/>
      <c r="Q980" s="2"/>
      <c r="R980" s="2"/>
      <c r="S980" s="2"/>
      <c r="T980" s="2"/>
      <c r="U980" s="2"/>
    </row>
    <row r="981">
      <c r="A981" s="72"/>
      <c r="B981" s="72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2"/>
      <c r="N981" s="2"/>
      <c r="O981" s="2"/>
      <c r="P981" s="2"/>
      <c r="Q981" s="2"/>
      <c r="R981" s="2"/>
      <c r="S981" s="2"/>
      <c r="T981" s="2"/>
      <c r="U981" s="2"/>
    </row>
    <row r="982">
      <c r="A982" s="72"/>
      <c r="B982" s="72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2"/>
      <c r="N982" s="2"/>
      <c r="O982" s="2"/>
      <c r="P982" s="2"/>
      <c r="Q982" s="2"/>
      <c r="R982" s="2"/>
      <c r="S982" s="2"/>
      <c r="T982" s="2"/>
      <c r="U982" s="2"/>
    </row>
    <row r="983">
      <c r="A983" s="72"/>
      <c r="B983" s="72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2"/>
      <c r="N983" s="2"/>
      <c r="O983" s="2"/>
      <c r="P983" s="2"/>
      <c r="Q983" s="2"/>
      <c r="R983" s="2"/>
      <c r="S983" s="2"/>
      <c r="T983" s="2"/>
      <c r="U983" s="2"/>
    </row>
    <row r="984">
      <c r="A984" s="72"/>
      <c r="B984" s="72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2"/>
      <c r="N984" s="2"/>
      <c r="O984" s="2"/>
      <c r="P984" s="2"/>
      <c r="Q984" s="2"/>
      <c r="R984" s="2"/>
      <c r="S984" s="2"/>
      <c r="T984" s="2"/>
      <c r="U984" s="2"/>
    </row>
    <row r="985">
      <c r="A985" s="72"/>
      <c r="B985" s="72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2"/>
      <c r="N985" s="2"/>
      <c r="O985" s="2"/>
      <c r="P985" s="2"/>
      <c r="Q985" s="2"/>
      <c r="R985" s="2"/>
      <c r="S985" s="2"/>
      <c r="T985" s="2"/>
      <c r="U985" s="2"/>
    </row>
    <row r="986">
      <c r="A986" s="72"/>
      <c r="B986" s="72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2"/>
      <c r="N986" s="2"/>
      <c r="O986" s="2"/>
      <c r="P986" s="2"/>
      <c r="Q986" s="2"/>
      <c r="R986" s="2"/>
      <c r="S986" s="2"/>
      <c r="T986" s="2"/>
      <c r="U986" s="2"/>
    </row>
    <row r="987">
      <c r="A987" s="72"/>
      <c r="B987" s="72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2"/>
      <c r="N987" s="2"/>
      <c r="O987" s="2"/>
      <c r="P987" s="2"/>
      <c r="Q987" s="2"/>
      <c r="R987" s="2"/>
      <c r="S987" s="2"/>
      <c r="T987" s="2"/>
      <c r="U987" s="2"/>
    </row>
    <row r="988">
      <c r="A988" s="72"/>
      <c r="B988" s="72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2"/>
      <c r="N988" s="2"/>
      <c r="O988" s="2"/>
      <c r="P988" s="2"/>
      <c r="Q988" s="2"/>
      <c r="R988" s="2"/>
      <c r="S988" s="2"/>
      <c r="T988" s="2"/>
      <c r="U988" s="2"/>
    </row>
    <row r="989">
      <c r="A989" s="72"/>
      <c r="B989" s="72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2"/>
      <c r="N989" s="2"/>
      <c r="O989" s="2"/>
      <c r="P989" s="2"/>
      <c r="Q989" s="2"/>
      <c r="R989" s="2"/>
      <c r="S989" s="2"/>
      <c r="T989" s="2"/>
      <c r="U989" s="2"/>
    </row>
    <row r="990">
      <c r="A990" s="72"/>
      <c r="B990" s="72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2"/>
      <c r="N990" s="2"/>
      <c r="O990" s="2"/>
      <c r="P990" s="2"/>
      <c r="Q990" s="2"/>
      <c r="R990" s="2"/>
      <c r="S990" s="2"/>
      <c r="T990" s="2"/>
      <c r="U990" s="2"/>
    </row>
    <row r="991">
      <c r="A991" s="72"/>
      <c r="B991" s="72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2"/>
      <c r="N991" s="2"/>
      <c r="O991" s="2"/>
      <c r="P991" s="2"/>
      <c r="Q991" s="2"/>
      <c r="R991" s="2"/>
      <c r="S991" s="2"/>
      <c r="T991" s="2"/>
      <c r="U991" s="2"/>
    </row>
    <row r="992">
      <c r="A992" s="72"/>
      <c r="B992" s="72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2"/>
      <c r="N992" s="2"/>
      <c r="O992" s="2"/>
      <c r="P992" s="2"/>
      <c r="Q992" s="2"/>
      <c r="R992" s="2"/>
      <c r="S992" s="2"/>
      <c r="T992" s="2"/>
      <c r="U992" s="2"/>
    </row>
    <row r="993">
      <c r="A993" s="72"/>
      <c r="B993" s="72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2"/>
      <c r="N993" s="2"/>
      <c r="O993" s="2"/>
      <c r="P993" s="2"/>
      <c r="Q993" s="2"/>
      <c r="R993" s="2"/>
      <c r="S993" s="2"/>
      <c r="T993" s="2"/>
      <c r="U993" s="2"/>
    </row>
    <row r="994">
      <c r="A994" s="72"/>
      <c r="B994" s="72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2"/>
      <c r="N994" s="2"/>
      <c r="O994" s="2"/>
      <c r="P994" s="2"/>
      <c r="Q994" s="2"/>
      <c r="R994" s="2"/>
      <c r="S994" s="2"/>
      <c r="T994" s="2"/>
      <c r="U994" s="2"/>
    </row>
    <row r="995">
      <c r="A995" s="72"/>
      <c r="B995" s="72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2"/>
      <c r="N995" s="2"/>
      <c r="O995" s="2"/>
      <c r="P995" s="2"/>
      <c r="Q995" s="2"/>
      <c r="R995" s="2"/>
      <c r="S995" s="2"/>
      <c r="T995" s="2"/>
      <c r="U995" s="2"/>
    </row>
    <row r="996">
      <c r="A996" s="72"/>
      <c r="B996" s="72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2"/>
      <c r="N996" s="2"/>
      <c r="O996" s="2"/>
      <c r="P996" s="2"/>
      <c r="Q996" s="2"/>
      <c r="R996" s="2"/>
      <c r="S996" s="2"/>
      <c r="T996" s="2"/>
      <c r="U996" s="2"/>
    </row>
    <row r="997">
      <c r="A997" s="72"/>
      <c r="B997" s="72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2"/>
      <c r="N997" s="2"/>
      <c r="O997" s="2"/>
      <c r="P997" s="2"/>
      <c r="Q997" s="2"/>
      <c r="R997" s="2"/>
      <c r="S997" s="2"/>
      <c r="T997" s="2"/>
      <c r="U997" s="2"/>
    </row>
    <row r="998">
      <c r="A998" s="72"/>
      <c r="B998" s="72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2"/>
      <c r="N998" s="2"/>
      <c r="O998" s="2"/>
      <c r="P998" s="2"/>
      <c r="Q998" s="2"/>
      <c r="R998" s="2"/>
      <c r="S998" s="2"/>
      <c r="T998" s="2"/>
      <c r="U998" s="2"/>
    </row>
    <row r="999">
      <c r="A999" s="72"/>
      <c r="B999" s="72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2"/>
      <c r="N999" s="2"/>
      <c r="O999" s="2"/>
      <c r="P999" s="2"/>
      <c r="Q999" s="2"/>
      <c r="R999" s="2"/>
      <c r="S999" s="2"/>
      <c r="T999" s="2"/>
      <c r="U999" s="2"/>
    </row>
    <row r="1000">
      <c r="A1000" s="72"/>
      <c r="B1000" s="72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2"/>
      <c r="N1000" s="2"/>
      <c r="O1000" s="2"/>
      <c r="P1000" s="2"/>
      <c r="Q1000" s="2"/>
      <c r="R1000" s="2"/>
      <c r="S1000" s="2"/>
      <c r="T1000" s="2"/>
      <c r="U1000" s="2"/>
    </row>
    <row r="1001">
      <c r="A1001" s="72"/>
      <c r="B1001" s="72"/>
      <c r="C1001" s="71"/>
      <c r="D1001" s="71"/>
      <c r="E1001" s="71"/>
      <c r="F1001" s="71"/>
      <c r="G1001" s="71"/>
      <c r="H1001" s="71"/>
      <c r="I1001" s="71"/>
      <c r="J1001" s="71"/>
      <c r="K1001" s="71"/>
      <c r="L1001" s="71"/>
      <c r="M1001" s="2"/>
      <c r="N1001" s="2"/>
      <c r="O1001" s="2"/>
      <c r="P1001" s="2"/>
      <c r="Q1001" s="2"/>
      <c r="R1001" s="2"/>
      <c r="S1001" s="2"/>
      <c r="T1001" s="2"/>
      <c r="U1001" s="2"/>
    </row>
    <row r="1002">
      <c r="A1002" s="72"/>
      <c r="B1002" s="72"/>
      <c r="C1002" s="71"/>
      <c r="D1002" s="71"/>
      <c r="E1002" s="71"/>
      <c r="F1002" s="71"/>
      <c r="G1002" s="71"/>
      <c r="H1002" s="71"/>
      <c r="I1002" s="71"/>
      <c r="J1002" s="71"/>
      <c r="K1002" s="71"/>
      <c r="L1002" s="71"/>
      <c r="M1002" s="2"/>
      <c r="N1002" s="2"/>
      <c r="O1002" s="2"/>
      <c r="P1002" s="2"/>
      <c r="Q1002" s="2"/>
      <c r="R1002" s="2"/>
      <c r="S1002" s="2"/>
      <c r="T1002" s="2"/>
      <c r="U1002" s="2"/>
    </row>
    <row r="1003">
      <c r="A1003" s="72"/>
      <c r="B1003" s="72"/>
      <c r="C1003" s="71"/>
      <c r="D1003" s="71"/>
      <c r="E1003" s="71"/>
      <c r="F1003" s="71"/>
      <c r="G1003" s="71"/>
      <c r="H1003" s="71"/>
      <c r="I1003" s="71"/>
      <c r="J1003" s="71"/>
      <c r="K1003" s="71"/>
      <c r="L1003" s="71"/>
      <c r="M1003" s="2"/>
      <c r="N1003" s="2"/>
      <c r="O1003" s="2"/>
      <c r="P1003" s="2"/>
      <c r="Q1003" s="2"/>
      <c r="R1003" s="2"/>
      <c r="S1003" s="2"/>
      <c r="T1003" s="2"/>
      <c r="U1003" s="2"/>
    </row>
    <row r="1004">
      <c r="A1004" s="72"/>
      <c r="B1004" s="72"/>
      <c r="C1004" s="71"/>
      <c r="D1004" s="71"/>
      <c r="E1004" s="71"/>
      <c r="F1004" s="71"/>
      <c r="G1004" s="71"/>
      <c r="H1004" s="71"/>
      <c r="I1004" s="71"/>
      <c r="J1004" s="71"/>
      <c r="K1004" s="71"/>
      <c r="L1004" s="71"/>
      <c r="M1004" s="2"/>
      <c r="N1004" s="2"/>
      <c r="O1004" s="2"/>
      <c r="P1004" s="2"/>
      <c r="Q1004" s="2"/>
      <c r="R1004" s="2"/>
      <c r="S1004" s="2"/>
      <c r="T1004" s="2"/>
      <c r="U1004" s="2"/>
    </row>
    <row r="1005">
      <c r="A1005" s="72"/>
      <c r="B1005" s="72"/>
      <c r="C1005" s="71"/>
      <c r="D1005" s="71"/>
      <c r="E1005" s="71"/>
      <c r="F1005" s="71"/>
      <c r="G1005" s="71"/>
      <c r="H1005" s="71"/>
      <c r="I1005" s="71"/>
      <c r="J1005" s="71"/>
      <c r="K1005" s="71"/>
      <c r="L1005" s="71"/>
      <c r="M1005" s="2"/>
      <c r="N1005" s="2"/>
      <c r="O1005" s="2"/>
      <c r="P1005" s="2"/>
      <c r="Q1005" s="2"/>
      <c r="R1005" s="2"/>
      <c r="S1005" s="2"/>
      <c r="T1005" s="2"/>
      <c r="U1005" s="2"/>
    </row>
    <row r="1006">
      <c r="A1006" s="72"/>
      <c r="B1006" s="72"/>
      <c r="C1006" s="71"/>
      <c r="D1006" s="71"/>
      <c r="E1006" s="71"/>
      <c r="F1006" s="71"/>
      <c r="G1006" s="71"/>
      <c r="H1006" s="71"/>
      <c r="I1006" s="71"/>
      <c r="J1006" s="71"/>
      <c r="K1006" s="71"/>
      <c r="L1006" s="71"/>
      <c r="M1006" s="2"/>
      <c r="N1006" s="2"/>
      <c r="O1006" s="2"/>
      <c r="P1006" s="2"/>
      <c r="Q1006" s="2"/>
      <c r="R1006" s="2"/>
      <c r="S1006" s="2"/>
      <c r="T1006" s="2"/>
      <c r="U1006" s="2"/>
    </row>
    <row r="1007">
      <c r="A1007" s="72"/>
      <c r="B1007" s="72"/>
      <c r="C1007" s="71"/>
      <c r="D1007" s="71"/>
      <c r="E1007" s="71"/>
      <c r="F1007" s="71"/>
      <c r="G1007" s="71"/>
      <c r="H1007" s="71"/>
      <c r="I1007" s="71"/>
      <c r="J1007" s="71"/>
      <c r="K1007" s="71"/>
      <c r="L1007" s="71"/>
      <c r="M1007" s="2"/>
      <c r="N1007" s="2"/>
      <c r="O1007" s="2"/>
      <c r="P1007" s="2"/>
      <c r="Q1007" s="2"/>
      <c r="R1007" s="2"/>
      <c r="S1007" s="2"/>
      <c r="T1007" s="2"/>
      <c r="U1007" s="2"/>
    </row>
    <row r="1008">
      <c r="A1008" s="72"/>
      <c r="B1008" s="72"/>
      <c r="C1008" s="71"/>
      <c r="D1008" s="71"/>
      <c r="E1008" s="71"/>
      <c r="F1008" s="71"/>
      <c r="G1008" s="71"/>
      <c r="H1008" s="71"/>
      <c r="I1008" s="71"/>
      <c r="J1008" s="71"/>
      <c r="K1008" s="71"/>
      <c r="L1008" s="71"/>
      <c r="M1008" s="2"/>
      <c r="N1008" s="2"/>
      <c r="O1008" s="2"/>
      <c r="P1008" s="2"/>
      <c r="Q1008" s="2"/>
      <c r="R1008" s="2"/>
      <c r="S1008" s="2"/>
      <c r="T1008" s="2"/>
      <c r="U1008" s="2"/>
    </row>
    <row r="1009">
      <c r="A1009" s="72"/>
      <c r="B1009" s="72"/>
      <c r="C1009" s="71"/>
      <c r="D1009" s="71"/>
      <c r="E1009" s="71"/>
      <c r="F1009" s="71"/>
      <c r="G1009" s="71"/>
      <c r="H1009" s="71"/>
      <c r="I1009" s="71"/>
      <c r="J1009" s="71"/>
      <c r="K1009" s="71"/>
      <c r="L1009" s="71"/>
      <c r="M1009" s="2"/>
      <c r="N1009" s="2"/>
      <c r="O1009" s="2"/>
      <c r="P1009" s="2"/>
      <c r="Q1009" s="2"/>
      <c r="R1009" s="2"/>
      <c r="S1009" s="2"/>
      <c r="T1009" s="2"/>
      <c r="U1009" s="2"/>
    </row>
    <row r="1010">
      <c r="A1010" s="72"/>
      <c r="B1010" s="72"/>
      <c r="C1010" s="71"/>
      <c r="D1010" s="71"/>
      <c r="E1010" s="71"/>
      <c r="F1010" s="71"/>
      <c r="G1010" s="71"/>
      <c r="H1010" s="71"/>
      <c r="I1010" s="71"/>
      <c r="J1010" s="71"/>
      <c r="K1010" s="71"/>
      <c r="L1010" s="71"/>
      <c r="M1010" s="2"/>
      <c r="N1010" s="2"/>
      <c r="O1010" s="2"/>
      <c r="P1010" s="2"/>
      <c r="Q1010" s="2"/>
      <c r="R1010" s="2"/>
      <c r="S1010" s="2"/>
      <c r="T1010" s="2"/>
      <c r="U1010" s="2"/>
    </row>
    <row r="1011">
      <c r="A1011" s="72"/>
      <c r="B1011" s="72"/>
      <c r="C1011" s="71"/>
      <c r="D1011" s="71"/>
      <c r="E1011" s="71"/>
      <c r="F1011" s="71"/>
      <c r="G1011" s="71"/>
      <c r="H1011" s="71"/>
      <c r="I1011" s="71"/>
      <c r="J1011" s="71"/>
      <c r="K1011" s="71"/>
      <c r="L1011" s="71"/>
      <c r="M1011" s="2"/>
      <c r="N1011" s="2"/>
      <c r="O1011" s="2"/>
      <c r="P1011" s="2"/>
      <c r="Q1011" s="2"/>
      <c r="R1011" s="2"/>
      <c r="S1011" s="2"/>
      <c r="T1011" s="2"/>
      <c r="U1011" s="2"/>
    </row>
    <row r="1012">
      <c r="A1012" s="72"/>
      <c r="B1012" s="72"/>
      <c r="C1012" s="71"/>
      <c r="D1012" s="71"/>
      <c r="E1012" s="71"/>
      <c r="F1012" s="71"/>
      <c r="G1012" s="71"/>
      <c r="H1012" s="71"/>
      <c r="I1012" s="71"/>
      <c r="J1012" s="71"/>
      <c r="K1012" s="71"/>
      <c r="L1012" s="71"/>
      <c r="M1012" s="2"/>
      <c r="N1012" s="2"/>
      <c r="O1012" s="2"/>
      <c r="P1012" s="2"/>
      <c r="Q1012" s="2"/>
      <c r="R1012" s="2"/>
      <c r="S1012" s="2"/>
      <c r="T1012" s="2"/>
      <c r="U1012" s="2"/>
    </row>
    <row r="1013">
      <c r="A1013" s="72"/>
      <c r="B1013" s="72"/>
      <c r="C1013" s="71"/>
      <c r="D1013" s="71"/>
      <c r="E1013" s="71"/>
      <c r="F1013" s="71"/>
      <c r="G1013" s="71"/>
      <c r="H1013" s="71"/>
      <c r="I1013" s="71"/>
      <c r="J1013" s="71"/>
      <c r="K1013" s="71"/>
      <c r="L1013" s="71"/>
      <c r="M1013" s="2"/>
      <c r="N1013" s="2"/>
      <c r="O1013" s="2"/>
      <c r="P1013" s="2"/>
      <c r="Q1013" s="2"/>
      <c r="R1013" s="2"/>
      <c r="S1013" s="2"/>
      <c r="T1013" s="2"/>
      <c r="U1013" s="2"/>
    </row>
    <row r="1014">
      <c r="A1014" s="72"/>
      <c r="B1014" s="72"/>
      <c r="C1014" s="71"/>
      <c r="D1014" s="71"/>
      <c r="E1014" s="71"/>
      <c r="F1014" s="71"/>
      <c r="G1014" s="71"/>
      <c r="H1014" s="71"/>
      <c r="I1014" s="71"/>
      <c r="J1014" s="71"/>
      <c r="K1014" s="71"/>
      <c r="L1014" s="71"/>
      <c r="M1014" s="2"/>
      <c r="N1014" s="2"/>
      <c r="O1014" s="2"/>
      <c r="P1014" s="2"/>
      <c r="Q1014" s="2"/>
      <c r="R1014" s="2"/>
      <c r="S1014" s="2"/>
      <c r="T1014" s="2"/>
      <c r="U1014" s="2"/>
    </row>
    <row r="1015">
      <c r="A1015" s="72"/>
      <c r="B1015" s="72"/>
      <c r="C1015" s="71"/>
      <c r="D1015" s="71"/>
      <c r="E1015" s="71"/>
      <c r="F1015" s="71"/>
      <c r="G1015" s="71"/>
      <c r="H1015" s="71"/>
      <c r="I1015" s="71"/>
      <c r="J1015" s="71"/>
      <c r="K1015" s="71"/>
      <c r="L1015" s="71"/>
      <c r="M1015" s="2"/>
      <c r="N1015" s="2"/>
      <c r="O1015" s="2"/>
      <c r="P1015" s="2"/>
      <c r="Q1015" s="2"/>
      <c r="R1015" s="2"/>
      <c r="S1015" s="2"/>
      <c r="T1015" s="2"/>
      <c r="U1015" s="2"/>
    </row>
    <row r="1016">
      <c r="A1016" s="72"/>
      <c r="B1016" s="72"/>
      <c r="C1016" s="71"/>
      <c r="D1016" s="71"/>
      <c r="E1016" s="71"/>
      <c r="F1016" s="71"/>
      <c r="G1016" s="71"/>
      <c r="H1016" s="71"/>
      <c r="I1016" s="71"/>
      <c r="J1016" s="71"/>
      <c r="K1016" s="71"/>
      <c r="L1016" s="71"/>
      <c r="M1016" s="2"/>
      <c r="N1016" s="2"/>
      <c r="O1016" s="2"/>
      <c r="P1016" s="2"/>
      <c r="Q1016" s="2"/>
      <c r="R1016" s="2"/>
      <c r="S1016" s="2"/>
      <c r="T1016" s="2"/>
      <c r="U1016" s="2"/>
    </row>
    <row r="1017">
      <c r="A1017" s="72"/>
      <c r="B1017" s="72"/>
      <c r="C1017" s="71"/>
      <c r="D1017" s="71"/>
      <c r="E1017" s="71"/>
      <c r="F1017" s="71"/>
      <c r="G1017" s="71"/>
      <c r="H1017" s="71"/>
      <c r="I1017" s="71"/>
      <c r="J1017" s="71"/>
      <c r="K1017" s="71"/>
      <c r="L1017" s="71"/>
      <c r="M1017" s="2"/>
      <c r="N1017" s="2"/>
      <c r="O1017" s="2"/>
      <c r="P1017" s="2"/>
      <c r="Q1017" s="2"/>
      <c r="R1017" s="2"/>
      <c r="S1017" s="2"/>
      <c r="T1017" s="2"/>
      <c r="U1017" s="2"/>
    </row>
    <row r="1018">
      <c r="A1018" s="72"/>
      <c r="B1018" s="72"/>
      <c r="C1018" s="71"/>
      <c r="D1018" s="71"/>
      <c r="E1018" s="71"/>
      <c r="F1018" s="71"/>
      <c r="G1018" s="71"/>
      <c r="H1018" s="71"/>
      <c r="I1018" s="71"/>
      <c r="J1018" s="71"/>
      <c r="K1018" s="71"/>
      <c r="L1018" s="71"/>
      <c r="M1018" s="2"/>
      <c r="N1018" s="2"/>
      <c r="O1018" s="2"/>
      <c r="P1018" s="2"/>
      <c r="Q1018" s="2"/>
      <c r="R1018" s="2"/>
      <c r="S1018" s="2"/>
      <c r="T1018" s="2"/>
      <c r="U1018" s="2"/>
    </row>
    <row r="1019">
      <c r="A1019" s="72"/>
      <c r="B1019" s="72"/>
      <c r="C1019" s="71"/>
      <c r="D1019" s="71"/>
      <c r="E1019" s="71"/>
      <c r="F1019" s="71"/>
      <c r="G1019" s="71"/>
      <c r="H1019" s="71"/>
      <c r="I1019" s="71"/>
      <c r="J1019" s="71"/>
      <c r="K1019" s="71"/>
      <c r="L1019" s="71"/>
      <c r="M1019" s="2"/>
      <c r="N1019" s="2"/>
      <c r="O1019" s="2"/>
      <c r="P1019" s="2"/>
      <c r="Q1019" s="2"/>
      <c r="R1019" s="2"/>
      <c r="S1019" s="2"/>
      <c r="T1019" s="2"/>
      <c r="U1019" s="2"/>
    </row>
    <row r="1020">
      <c r="A1020" s="72"/>
      <c r="B1020" s="72"/>
      <c r="C1020" s="71"/>
      <c r="D1020" s="71"/>
      <c r="E1020" s="71"/>
      <c r="F1020" s="71"/>
      <c r="G1020" s="71"/>
      <c r="H1020" s="71"/>
      <c r="I1020" s="71"/>
      <c r="J1020" s="71"/>
      <c r="K1020" s="71"/>
      <c r="L1020" s="71"/>
      <c r="M1020" s="2"/>
      <c r="N1020" s="2"/>
      <c r="O1020" s="2"/>
      <c r="P1020" s="2"/>
      <c r="Q1020" s="2"/>
      <c r="R1020" s="2"/>
      <c r="S1020" s="2"/>
      <c r="T1020" s="2"/>
      <c r="U1020" s="2"/>
    </row>
    <row r="1021">
      <c r="A1021" s="72"/>
      <c r="B1021" s="72"/>
      <c r="C1021" s="71"/>
      <c r="D1021" s="71"/>
      <c r="E1021" s="71"/>
      <c r="F1021" s="71"/>
      <c r="G1021" s="71"/>
      <c r="H1021" s="71"/>
      <c r="I1021" s="71"/>
      <c r="J1021" s="71"/>
      <c r="K1021" s="71"/>
      <c r="L1021" s="71"/>
      <c r="M1021" s="2"/>
      <c r="N1021" s="2"/>
      <c r="O1021" s="2"/>
      <c r="P1021" s="2"/>
      <c r="Q1021" s="2"/>
      <c r="R1021" s="2"/>
      <c r="S1021" s="2"/>
      <c r="T1021" s="2"/>
      <c r="U1021" s="2"/>
    </row>
    <row r="1022">
      <c r="A1022" s="72"/>
      <c r="B1022" s="72"/>
      <c r="C1022" s="71"/>
      <c r="D1022" s="71"/>
      <c r="E1022" s="71"/>
      <c r="F1022" s="71"/>
      <c r="G1022" s="71"/>
      <c r="H1022" s="71"/>
      <c r="I1022" s="71"/>
      <c r="J1022" s="71"/>
      <c r="K1022" s="71"/>
      <c r="L1022" s="71"/>
      <c r="M1022" s="2"/>
      <c r="N1022" s="2"/>
      <c r="O1022" s="2"/>
      <c r="P1022" s="2"/>
      <c r="Q1022" s="2"/>
      <c r="R1022" s="2"/>
      <c r="S1022" s="2"/>
      <c r="T1022" s="2"/>
      <c r="U1022" s="2"/>
    </row>
    <row r="1023">
      <c r="A1023" s="72"/>
      <c r="B1023" s="72"/>
      <c r="C1023" s="71"/>
      <c r="D1023" s="71"/>
      <c r="E1023" s="71"/>
      <c r="F1023" s="71"/>
      <c r="G1023" s="71"/>
      <c r="H1023" s="71"/>
      <c r="I1023" s="71"/>
      <c r="J1023" s="71"/>
      <c r="K1023" s="71"/>
      <c r="L1023" s="71"/>
      <c r="M1023" s="2"/>
      <c r="N1023" s="2"/>
      <c r="O1023" s="2"/>
      <c r="P1023" s="2"/>
      <c r="Q1023" s="2"/>
      <c r="R1023" s="2"/>
      <c r="S1023" s="2"/>
      <c r="T1023" s="2"/>
      <c r="U1023" s="2"/>
    </row>
    <row r="1024">
      <c r="A1024" s="72"/>
      <c r="B1024" s="72"/>
      <c r="C1024" s="71"/>
      <c r="D1024" s="71"/>
      <c r="E1024" s="71"/>
      <c r="F1024" s="71"/>
      <c r="G1024" s="71"/>
      <c r="H1024" s="71"/>
      <c r="I1024" s="71"/>
      <c r="J1024" s="71"/>
      <c r="K1024" s="71"/>
      <c r="L1024" s="71"/>
      <c r="M1024" s="2"/>
      <c r="N1024" s="2"/>
      <c r="O1024" s="2"/>
      <c r="P1024" s="2"/>
      <c r="Q1024" s="2"/>
      <c r="R1024" s="2"/>
      <c r="S1024" s="2"/>
      <c r="T1024" s="2"/>
      <c r="U1024" s="2"/>
    </row>
    <row r="1025">
      <c r="A1025" s="72"/>
      <c r="B1025" s="72"/>
      <c r="C1025" s="71"/>
      <c r="D1025" s="71"/>
      <c r="E1025" s="71"/>
      <c r="F1025" s="71"/>
      <c r="G1025" s="71"/>
      <c r="H1025" s="71"/>
      <c r="I1025" s="71"/>
      <c r="J1025" s="71"/>
      <c r="K1025" s="71"/>
      <c r="L1025" s="71"/>
      <c r="M1025" s="2"/>
      <c r="N1025" s="2"/>
      <c r="O1025" s="2"/>
      <c r="P1025" s="2"/>
      <c r="Q1025" s="2"/>
      <c r="R1025" s="2"/>
      <c r="S1025" s="2"/>
      <c r="T1025" s="2"/>
      <c r="U1025" s="2"/>
    </row>
    <row r="1026">
      <c r="A1026" s="72"/>
      <c r="B1026" s="72"/>
      <c r="C1026" s="71"/>
      <c r="D1026" s="71"/>
      <c r="E1026" s="71"/>
      <c r="F1026" s="71"/>
      <c r="G1026" s="71"/>
      <c r="H1026" s="71"/>
      <c r="I1026" s="71"/>
      <c r="J1026" s="71"/>
      <c r="K1026" s="71"/>
      <c r="L1026" s="71"/>
      <c r="M1026" s="2"/>
      <c r="N1026" s="2"/>
      <c r="O1026" s="2"/>
      <c r="P1026" s="2"/>
      <c r="Q1026" s="2"/>
      <c r="R1026" s="2"/>
      <c r="S1026" s="2"/>
      <c r="T1026" s="2"/>
      <c r="U1026" s="2"/>
    </row>
    <row r="1027">
      <c r="A1027" s="72"/>
      <c r="B1027" s="72"/>
      <c r="C1027" s="71"/>
      <c r="D1027" s="71"/>
      <c r="E1027" s="71"/>
      <c r="F1027" s="71"/>
      <c r="G1027" s="71"/>
      <c r="H1027" s="71"/>
      <c r="I1027" s="71"/>
      <c r="J1027" s="71"/>
      <c r="K1027" s="71"/>
      <c r="L1027" s="71"/>
      <c r="M1027" s="2"/>
      <c r="N1027" s="2"/>
      <c r="O1027" s="2"/>
      <c r="P1027" s="2"/>
      <c r="Q1027" s="2"/>
      <c r="R1027" s="2"/>
      <c r="S1027" s="2"/>
      <c r="T1027" s="2"/>
      <c r="U1027" s="2"/>
    </row>
    <row r="1028">
      <c r="A1028" s="72"/>
      <c r="B1028" s="72"/>
      <c r="C1028" s="71"/>
      <c r="D1028" s="71"/>
      <c r="E1028" s="71"/>
      <c r="F1028" s="71"/>
      <c r="G1028" s="71"/>
      <c r="H1028" s="71"/>
      <c r="I1028" s="71"/>
      <c r="J1028" s="71"/>
      <c r="K1028" s="71"/>
      <c r="L1028" s="71"/>
      <c r="M1028" s="2"/>
      <c r="N1028" s="2"/>
      <c r="O1028" s="2"/>
      <c r="P1028" s="2"/>
      <c r="Q1028" s="2"/>
      <c r="R1028" s="2"/>
      <c r="S1028" s="2"/>
      <c r="T1028" s="2"/>
      <c r="U1028" s="2"/>
    </row>
    <row r="1029">
      <c r="A1029" s="72"/>
      <c r="B1029" s="72"/>
      <c r="C1029" s="71"/>
      <c r="D1029" s="71"/>
      <c r="E1029" s="71"/>
      <c r="F1029" s="71"/>
      <c r="G1029" s="71"/>
      <c r="H1029" s="71"/>
      <c r="I1029" s="71"/>
      <c r="J1029" s="71"/>
      <c r="K1029" s="71"/>
      <c r="L1029" s="71"/>
      <c r="M1029" s="2"/>
      <c r="N1029" s="2"/>
      <c r="O1029" s="2"/>
      <c r="P1029" s="2"/>
      <c r="Q1029" s="2"/>
      <c r="R1029" s="2"/>
      <c r="S1029" s="2"/>
      <c r="T1029" s="2"/>
      <c r="U1029" s="2"/>
    </row>
    <row r="1030">
      <c r="A1030" s="72"/>
      <c r="B1030" s="72"/>
      <c r="C1030" s="71"/>
      <c r="D1030" s="71"/>
      <c r="E1030" s="71"/>
      <c r="F1030" s="71"/>
      <c r="G1030" s="71"/>
      <c r="H1030" s="71"/>
      <c r="I1030" s="71"/>
      <c r="J1030" s="71"/>
      <c r="K1030" s="71"/>
      <c r="L1030" s="71"/>
      <c r="M1030" s="2"/>
      <c r="N1030" s="2"/>
      <c r="O1030" s="2"/>
      <c r="P1030" s="2"/>
      <c r="Q1030" s="2"/>
      <c r="R1030" s="2"/>
      <c r="S1030" s="2"/>
      <c r="T1030" s="2"/>
      <c r="U1030" s="2"/>
    </row>
    <row r="1031">
      <c r="A1031" s="72"/>
      <c r="B1031" s="72"/>
      <c r="C1031" s="71"/>
      <c r="D1031" s="71"/>
      <c r="E1031" s="71"/>
      <c r="F1031" s="71"/>
      <c r="G1031" s="71"/>
      <c r="H1031" s="71"/>
      <c r="I1031" s="71"/>
      <c r="J1031" s="71"/>
      <c r="K1031" s="71"/>
      <c r="L1031" s="71"/>
      <c r="M1031" s="2"/>
      <c r="N1031" s="2"/>
      <c r="O1031" s="2"/>
      <c r="P1031" s="2"/>
      <c r="Q1031" s="2"/>
      <c r="R1031" s="2"/>
      <c r="S1031" s="2"/>
      <c r="T1031" s="2"/>
      <c r="U1031" s="2"/>
    </row>
    <row r="1032">
      <c r="A1032" s="72"/>
      <c r="B1032" s="72"/>
      <c r="C1032" s="71"/>
      <c r="D1032" s="71"/>
      <c r="E1032" s="71"/>
      <c r="F1032" s="71"/>
      <c r="G1032" s="71"/>
      <c r="H1032" s="71"/>
      <c r="I1032" s="71"/>
      <c r="J1032" s="71"/>
      <c r="K1032" s="71"/>
      <c r="L1032" s="71"/>
      <c r="M1032" s="2"/>
      <c r="N1032" s="2"/>
      <c r="O1032" s="2"/>
      <c r="P1032" s="2"/>
      <c r="Q1032" s="2"/>
      <c r="R1032" s="2"/>
      <c r="S1032" s="2"/>
      <c r="T1032" s="2"/>
      <c r="U1032" s="2"/>
    </row>
    <row r="1033">
      <c r="A1033" s="72"/>
      <c r="B1033" s="72"/>
      <c r="C1033" s="71"/>
      <c r="D1033" s="71"/>
      <c r="E1033" s="71"/>
      <c r="F1033" s="71"/>
      <c r="G1033" s="71"/>
      <c r="H1033" s="71"/>
      <c r="I1033" s="71"/>
      <c r="J1033" s="71"/>
      <c r="K1033" s="71"/>
      <c r="L1033" s="71"/>
      <c r="M1033" s="2"/>
      <c r="N1033" s="2"/>
      <c r="O1033" s="2"/>
      <c r="P1033" s="2"/>
      <c r="Q1033" s="2"/>
      <c r="R1033" s="2"/>
      <c r="S1033" s="2"/>
      <c r="T1033" s="2"/>
      <c r="U1033" s="2"/>
    </row>
    <row r="1034">
      <c r="A1034" s="72"/>
      <c r="B1034" s="72"/>
      <c r="C1034" s="71"/>
      <c r="D1034" s="71"/>
      <c r="E1034" s="71"/>
      <c r="F1034" s="71"/>
      <c r="G1034" s="71"/>
      <c r="H1034" s="71"/>
      <c r="I1034" s="71"/>
      <c r="J1034" s="71"/>
      <c r="K1034" s="71"/>
      <c r="L1034" s="71"/>
      <c r="M1034" s="2"/>
      <c r="N1034" s="2"/>
      <c r="O1034" s="2"/>
      <c r="P1034" s="2"/>
      <c r="Q1034" s="2"/>
      <c r="R1034" s="2"/>
      <c r="S1034" s="2"/>
      <c r="T1034" s="2"/>
      <c r="U1034" s="2"/>
    </row>
    <row r="1035">
      <c r="A1035" s="72"/>
      <c r="B1035" s="72"/>
      <c r="C1035" s="71"/>
      <c r="D1035" s="71"/>
      <c r="E1035" s="71"/>
      <c r="F1035" s="71"/>
      <c r="G1035" s="71"/>
      <c r="H1035" s="71"/>
      <c r="I1035" s="71"/>
      <c r="J1035" s="71"/>
      <c r="K1035" s="71"/>
      <c r="L1035" s="71"/>
      <c r="M1035" s="2"/>
      <c r="N1035" s="2"/>
      <c r="O1035" s="2"/>
      <c r="P1035" s="2"/>
      <c r="Q1035" s="2"/>
      <c r="R1035" s="2"/>
      <c r="S1035" s="2"/>
      <c r="T1035" s="2"/>
      <c r="U1035" s="2"/>
    </row>
    <row r="1036">
      <c r="A1036" s="72"/>
      <c r="B1036" s="72"/>
      <c r="C1036" s="71"/>
      <c r="D1036" s="71"/>
      <c r="E1036" s="71"/>
      <c r="F1036" s="71"/>
      <c r="G1036" s="71"/>
      <c r="H1036" s="71"/>
      <c r="I1036" s="71"/>
      <c r="J1036" s="71"/>
      <c r="K1036" s="71"/>
      <c r="L1036" s="71"/>
      <c r="M1036" s="2"/>
      <c r="N1036" s="2"/>
      <c r="O1036" s="2"/>
      <c r="P1036" s="2"/>
      <c r="Q1036" s="2"/>
      <c r="R1036" s="2"/>
      <c r="S1036" s="2"/>
      <c r="T1036" s="2"/>
      <c r="U1036" s="2"/>
    </row>
    <row r="1037">
      <c r="A1037" s="72"/>
      <c r="B1037" s="72"/>
      <c r="C1037" s="71"/>
      <c r="D1037" s="71"/>
      <c r="E1037" s="71"/>
      <c r="F1037" s="71"/>
      <c r="G1037" s="71"/>
      <c r="H1037" s="71"/>
      <c r="I1037" s="71"/>
      <c r="J1037" s="71"/>
      <c r="K1037" s="71"/>
      <c r="L1037" s="71"/>
      <c r="M1037" s="2"/>
      <c r="N1037" s="2"/>
      <c r="O1037" s="2"/>
      <c r="P1037" s="2"/>
      <c r="Q1037" s="2"/>
      <c r="R1037" s="2"/>
      <c r="S1037" s="2"/>
      <c r="T1037" s="2"/>
      <c r="U1037" s="2"/>
    </row>
    <row r="1038">
      <c r="A1038" s="72"/>
      <c r="B1038" s="72"/>
      <c r="C1038" s="71"/>
      <c r="D1038" s="71"/>
      <c r="E1038" s="71"/>
      <c r="F1038" s="71"/>
      <c r="G1038" s="71"/>
      <c r="H1038" s="71"/>
      <c r="I1038" s="71"/>
      <c r="J1038" s="71"/>
      <c r="K1038" s="71"/>
      <c r="L1038" s="71"/>
      <c r="M1038" s="2"/>
      <c r="N1038" s="2"/>
      <c r="O1038" s="2"/>
      <c r="P1038" s="2"/>
      <c r="Q1038" s="2"/>
      <c r="R1038" s="2"/>
      <c r="S1038" s="2"/>
      <c r="T1038" s="2"/>
      <c r="U1038" s="2"/>
    </row>
    <row r="1039">
      <c r="A1039" s="72"/>
      <c r="B1039" s="72"/>
      <c r="C1039" s="71"/>
      <c r="D1039" s="71"/>
      <c r="E1039" s="71"/>
      <c r="F1039" s="71"/>
      <c r="G1039" s="71"/>
      <c r="H1039" s="71"/>
      <c r="I1039" s="71"/>
      <c r="J1039" s="71"/>
      <c r="K1039" s="71"/>
      <c r="L1039" s="71"/>
      <c r="M1039" s="2"/>
      <c r="N1039" s="2"/>
      <c r="O1039" s="2"/>
      <c r="P1039" s="2"/>
      <c r="Q1039" s="2"/>
      <c r="R1039" s="2"/>
      <c r="S1039" s="2"/>
      <c r="T1039" s="2"/>
      <c r="U1039" s="2"/>
    </row>
    <row r="1040">
      <c r="A1040" s="72"/>
      <c r="B1040" s="72"/>
      <c r="C1040" s="71"/>
      <c r="D1040" s="71"/>
      <c r="E1040" s="71"/>
      <c r="F1040" s="71"/>
      <c r="G1040" s="71"/>
      <c r="H1040" s="71"/>
      <c r="I1040" s="71"/>
      <c r="J1040" s="71"/>
      <c r="K1040" s="71"/>
      <c r="L1040" s="71"/>
      <c r="M1040" s="2"/>
      <c r="N1040" s="2"/>
      <c r="O1040" s="2"/>
      <c r="P1040" s="2"/>
      <c r="Q1040" s="2"/>
      <c r="R1040" s="2"/>
      <c r="S1040" s="2"/>
      <c r="T1040" s="2"/>
      <c r="U1040" s="2"/>
    </row>
    <row r="1041">
      <c r="A1041" s="72"/>
      <c r="B1041" s="72"/>
      <c r="C1041" s="71"/>
      <c r="D1041" s="71"/>
      <c r="E1041" s="71"/>
      <c r="F1041" s="71"/>
      <c r="G1041" s="71"/>
      <c r="H1041" s="71"/>
      <c r="I1041" s="71"/>
      <c r="J1041" s="71"/>
      <c r="K1041" s="71"/>
      <c r="L1041" s="71"/>
      <c r="M1041" s="2"/>
      <c r="N1041" s="2"/>
      <c r="O1041" s="2"/>
      <c r="P1041" s="2"/>
      <c r="Q1041" s="2"/>
      <c r="R1041" s="2"/>
      <c r="S1041" s="2"/>
      <c r="T1041" s="2"/>
      <c r="U1041" s="2"/>
    </row>
    <row r="1042">
      <c r="A1042" s="72"/>
      <c r="B1042" s="72"/>
      <c r="C1042" s="71"/>
      <c r="D1042" s="71"/>
      <c r="E1042" s="71"/>
      <c r="F1042" s="71"/>
      <c r="G1042" s="71"/>
      <c r="H1042" s="71"/>
      <c r="I1042" s="71"/>
      <c r="J1042" s="71"/>
      <c r="K1042" s="71"/>
      <c r="L1042" s="71"/>
      <c r="M1042" s="2"/>
      <c r="N1042" s="2"/>
      <c r="O1042" s="2"/>
      <c r="P1042" s="2"/>
      <c r="Q1042" s="2"/>
      <c r="R1042" s="2"/>
      <c r="S1042" s="2"/>
      <c r="T1042" s="2"/>
      <c r="U1042" s="2"/>
    </row>
    <row r="1043">
      <c r="A1043" s="72"/>
      <c r="B1043" s="72"/>
      <c r="C1043" s="71"/>
      <c r="D1043" s="71"/>
      <c r="E1043" s="71"/>
      <c r="F1043" s="71"/>
      <c r="G1043" s="71"/>
      <c r="H1043" s="71"/>
      <c r="I1043" s="71"/>
      <c r="J1043" s="71"/>
      <c r="K1043" s="71"/>
      <c r="L1043" s="71"/>
      <c r="M1043" s="2"/>
      <c r="N1043" s="2"/>
      <c r="O1043" s="2"/>
      <c r="P1043" s="2"/>
      <c r="Q1043" s="2"/>
      <c r="R1043" s="2"/>
      <c r="S1043" s="2"/>
      <c r="T1043" s="2"/>
      <c r="U1043" s="2"/>
    </row>
    <row r="1044">
      <c r="A1044" s="72"/>
      <c r="B1044" s="72"/>
      <c r="C1044" s="71"/>
      <c r="D1044" s="71"/>
      <c r="E1044" s="71"/>
      <c r="F1044" s="71"/>
      <c r="G1044" s="71"/>
      <c r="H1044" s="71"/>
      <c r="I1044" s="71"/>
      <c r="J1044" s="71"/>
      <c r="K1044" s="71"/>
      <c r="L1044" s="71"/>
      <c r="M1044" s="2"/>
      <c r="N1044" s="2"/>
      <c r="O1044" s="2"/>
      <c r="P1044" s="2"/>
      <c r="Q1044" s="2"/>
      <c r="R1044" s="2"/>
      <c r="S1044" s="2"/>
      <c r="T1044" s="2"/>
      <c r="U1044" s="2"/>
    </row>
    <row r="1045">
      <c r="A1045" s="72"/>
      <c r="B1045" s="72"/>
      <c r="C1045" s="71"/>
      <c r="D1045" s="71"/>
      <c r="E1045" s="71"/>
      <c r="F1045" s="71"/>
      <c r="G1045" s="71"/>
      <c r="H1045" s="71"/>
      <c r="I1045" s="71"/>
      <c r="J1045" s="71"/>
      <c r="K1045" s="71"/>
      <c r="L1045" s="71"/>
      <c r="M1045" s="2"/>
      <c r="N1045" s="2"/>
      <c r="O1045" s="2"/>
      <c r="P1045" s="2"/>
      <c r="Q1045" s="2"/>
      <c r="R1045" s="2"/>
      <c r="S1045" s="2"/>
      <c r="T1045" s="2"/>
      <c r="U1045" s="2"/>
    </row>
    <row r="1046">
      <c r="A1046" s="72"/>
      <c r="B1046" s="72"/>
      <c r="C1046" s="71"/>
      <c r="D1046" s="71"/>
      <c r="E1046" s="71"/>
      <c r="F1046" s="71"/>
      <c r="G1046" s="71"/>
      <c r="H1046" s="71"/>
      <c r="I1046" s="71"/>
      <c r="J1046" s="71"/>
      <c r="K1046" s="71"/>
      <c r="L1046" s="71"/>
      <c r="M1046" s="2"/>
      <c r="N1046" s="2"/>
      <c r="O1046" s="2"/>
      <c r="P1046" s="2"/>
      <c r="Q1046" s="2"/>
      <c r="R1046" s="2"/>
      <c r="S1046" s="2"/>
      <c r="T1046" s="2"/>
      <c r="U1046" s="2"/>
    </row>
    <row r="1047">
      <c r="A1047" s="72"/>
      <c r="B1047" s="72"/>
      <c r="C1047" s="71"/>
      <c r="D1047" s="71"/>
      <c r="E1047" s="71"/>
      <c r="F1047" s="71"/>
      <c r="G1047" s="71"/>
      <c r="H1047" s="71"/>
      <c r="I1047" s="71"/>
      <c r="J1047" s="71"/>
      <c r="K1047" s="71"/>
      <c r="L1047" s="71"/>
      <c r="M1047" s="2"/>
      <c r="N1047" s="2"/>
      <c r="O1047" s="2"/>
      <c r="P1047" s="2"/>
      <c r="Q1047" s="2"/>
      <c r="R1047" s="2"/>
      <c r="S1047" s="2"/>
      <c r="T1047" s="2"/>
      <c r="U1047" s="2"/>
    </row>
    <row r="1048">
      <c r="A1048" s="72"/>
      <c r="B1048" s="72"/>
      <c r="C1048" s="71"/>
      <c r="D1048" s="71"/>
      <c r="E1048" s="71"/>
      <c r="F1048" s="71"/>
      <c r="G1048" s="71"/>
      <c r="H1048" s="71"/>
      <c r="I1048" s="71"/>
      <c r="J1048" s="71"/>
      <c r="K1048" s="71"/>
      <c r="L1048" s="71"/>
      <c r="M1048" s="2"/>
      <c r="N1048" s="2"/>
      <c r="O1048" s="2"/>
      <c r="P1048" s="2"/>
      <c r="Q1048" s="2"/>
      <c r="R1048" s="2"/>
      <c r="S1048" s="2"/>
      <c r="T1048" s="2"/>
      <c r="U1048" s="2"/>
    </row>
    <row r="1049">
      <c r="A1049" s="72"/>
      <c r="B1049" s="72"/>
      <c r="C1049" s="71"/>
      <c r="D1049" s="71"/>
      <c r="E1049" s="71"/>
      <c r="F1049" s="71"/>
      <c r="G1049" s="71"/>
      <c r="H1049" s="71"/>
      <c r="I1049" s="71"/>
      <c r="J1049" s="71"/>
      <c r="K1049" s="71"/>
      <c r="L1049" s="71"/>
      <c r="M1049" s="2"/>
      <c r="N1049" s="2"/>
      <c r="O1049" s="2"/>
      <c r="P1049" s="2"/>
      <c r="Q1049" s="2"/>
      <c r="R1049" s="2"/>
      <c r="S1049" s="2"/>
      <c r="T1049" s="2"/>
      <c r="U1049" s="2"/>
    </row>
    <row r="1050">
      <c r="A1050" s="72"/>
      <c r="B1050" s="72"/>
      <c r="C1050" s="71"/>
      <c r="D1050" s="71"/>
      <c r="E1050" s="71"/>
      <c r="F1050" s="71"/>
      <c r="G1050" s="71"/>
      <c r="H1050" s="71"/>
      <c r="I1050" s="71"/>
      <c r="J1050" s="71"/>
      <c r="K1050" s="71"/>
      <c r="L1050" s="71"/>
      <c r="M1050" s="2"/>
      <c r="N1050" s="2"/>
      <c r="O1050" s="2"/>
      <c r="P1050" s="2"/>
      <c r="Q1050" s="2"/>
      <c r="R1050" s="2"/>
      <c r="S1050" s="2"/>
      <c r="T1050" s="2"/>
      <c r="U1050" s="2"/>
    </row>
    <row r="1051">
      <c r="A1051" s="72"/>
      <c r="B1051" s="72"/>
      <c r="C1051" s="71"/>
      <c r="D1051" s="71"/>
      <c r="E1051" s="71"/>
      <c r="F1051" s="71"/>
      <c r="G1051" s="71"/>
      <c r="H1051" s="71"/>
      <c r="I1051" s="71"/>
      <c r="J1051" s="71"/>
      <c r="K1051" s="71"/>
      <c r="L1051" s="71"/>
      <c r="M1051" s="2"/>
      <c r="N1051" s="2"/>
      <c r="O1051" s="2"/>
      <c r="P1051" s="2"/>
      <c r="Q1051" s="2"/>
      <c r="R1051" s="2"/>
      <c r="S1051" s="2"/>
      <c r="T1051" s="2"/>
      <c r="U1051" s="2"/>
    </row>
    <row r="1052">
      <c r="A1052" s="72"/>
      <c r="B1052" s="72"/>
      <c r="C1052" s="71"/>
      <c r="D1052" s="71"/>
      <c r="E1052" s="71"/>
      <c r="F1052" s="71"/>
      <c r="G1052" s="71"/>
      <c r="H1052" s="71"/>
      <c r="I1052" s="71"/>
      <c r="J1052" s="71"/>
      <c r="K1052" s="71"/>
      <c r="L1052" s="71"/>
      <c r="M1052" s="2"/>
      <c r="N1052" s="2"/>
      <c r="O1052" s="2"/>
      <c r="P1052" s="2"/>
      <c r="Q1052" s="2"/>
      <c r="R1052" s="2"/>
      <c r="S1052" s="2"/>
      <c r="T1052" s="2"/>
      <c r="U1052" s="2"/>
    </row>
    <row r="1053">
      <c r="A1053" s="72"/>
      <c r="B1053" s="72"/>
      <c r="C1053" s="71"/>
      <c r="D1053" s="71"/>
      <c r="E1053" s="71"/>
      <c r="F1053" s="71"/>
      <c r="G1053" s="71"/>
      <c r="H1053" s="71"/>
      <c r="I1053" s="71"/>
      <c r="J1053" s="71"/>
      <c r="K1053" s="71"/>
      <c r="L1053" s="71"/>
      <c r="M1053" s="2"/>
      <c r="N1053" s="2"/>
      <c r="O1053" s="2"/>
      <c r="P1053" s="2"/>
      <c r="Q1053" s="2"/>
      <c r="R1053" s="2"/>
      <c r="S1053" s="2"/>
      <c r="T1053" s="2"/>
      <c r="U1053" s="2"/>
    </row>
    <row r="1054">
      <c r="A1054" s="72"/>
      <c r="B1054" s="72"/>
      <c r="C1054" s="71"/>
      <c r="D1054" s="71"/>
      <c r="E1054" s="71"/>
      <c r="F1054" s="71"/>
      <c r="G1054" s="71"/>
      <c r="H1054" s="71"/>
      <c r="I1054" s="71"/>
      <c r="J1054" s="71"/>
      <c r="K1054" s="71"/>
      <c r="L1054" s="71"/>
      <c r="M1054" s="2"/>
      <c r="N1054" s="2"/>
      <c r="O1054" s="2"/>
      <c r="P1054" s="2"/>
      <c r="Q1054" s="2"/>
      <c r="R1054" s="2"/>
      <c r="S1054" s="2"/>
      <c r="T1054" s="2"/>
      <c r="U1054" s="2"/>
    </row>
    <row r="1055">
      <c r="A1055" s="72"/>
      <c r="B1055" s="72"/>
      <c r="C1055" s="71"/>
      <c r="D1055" s="71"/>
      <c r="E1055" s="71"/>
      <c r="F1055" s="71"/>
      <c r="G1055" s="71"/>
      <c r="H1055" s="71"/>
      <c r="I1055" s="71"/>
      <c r="J1055" s="71"/>
      <c r="K1055" s="71"/>
      <c r="L1055" s="71"/>
      <c r="M1055" s="2"/>
      <c r="N1055" s="2"/>
      <c r="O1055" s="2"/>
      <c r="P1055" s="2"/>
      <c r="Q1055" s="2"/>
      <c r="R1055" s="2"/>
      <c r="S1055" s="2"/>
      <c r="T1055" s="2"/>
      <c r="U1055" s="2"/>
    </row>
    <row r="1056">
      <c r="A1056" s="72"/>
      <c r="B1056" s="72"/>
      <c r="C1056" s="71"/>
      <c r="D1056" s="71"/>
      <c r="E1056" s="71"/>
      <c r="F1056" s="71"/>
      <c r="G1056" s="71"/>
      <c r="H1056" s="71"/>
      <c r="I1056" s="71"/>
      <c r="J1056" s="71"/>
      <c r="K1056" s="71"/>
      <c r="L1056" s="71"/>
      <c r="M1056" s="2"/>
      <c r="N1056" s="2"/>
      <c r="O1056" s="2"/>
      <c r="P1056" s="2"/>
      <c r="Q1056" s="2"/>
      <c r="R1056" s="2"/>
      <c r="S1056" s="2"/>
      <c r="T1056" s="2"/>
      <c r="U1056" s="2"/>
    </row>
    <row r="1057">
      <c r="A1057" s="72"/>
      <c r="B1057" s="72"/>
      <c r="C1057" s="71"/>
      <c r="D1057" s="71"/>
      <c r="E1057" s="71"/>
      <c r="F1057" s="71"/>
      <c r="G1057" s="71"/>
      <c r="H1057" s="71"/>
      <c r="I1057" s="71"/>
      <c r="J1057" s="71"/>
      <c r="K1057" s="71"/>
      <c r="L1057" s="71"/>
      <c r="M1057" s="2"/>
      <c r="N1057" s="2"/>
      <c r="O1057" s="2"/>
      <c r="P1057" s="2"/>
      <c r="Q1057" s="2"/>
      <c r="R1057" s="2"/>
      <c r="S1057" s="2"/>
      <c r="T1057" s="2"/>
      <c r="U1057" s="2"/>
    </row>
    <row r="1058">
      <c r="A1058" s="72"/>
      <c r="B1058" s="72"/>
      <c r="C1058" s="71"/>
      <c r="D1058" s="71"/>
      <c r="E1058" s="71"/>
      <c r="F1058" s="71"/>
      <c r="G1058" s="71"/>
      <c r="H1058" s="71"/>
      <c r="I1058" s="71"/>
      <c r="J1058" s="71"/>
      <c r="K1058" s="71"/>
      <c r="L1058" s="71"/>
      <c r="M1058" s="2"/>
      <c r="N1058" s="2"/>
      <c r="O1058" s="2"/>
      <c r="P1058" s="2"/>
      <c r="Q1058" s="2"/>
      <c r="R1058" s="2"/>
      <c r="S1058" s="2"/>
      <c r="T1058" s="2"/>
      <c r="U1058" s="2"/>
    </row>
    <row r="1059">
      <c r="A1059" s="72"/>
      <c r="B1059" s="72"/>
      <c r="C1059" s="71"/>
      <c r="D1059" s="71"/>
      <c r="E1059" s="71"/>
      <c r="F1059" s="71"/>
      <c r="G1059" s="71"/>
      <c r="H1059" s="71"/>
      <c r="I1059" s="71"/>
      <c r="J1059" s="71"/>
      <c r="K1059" s="71"/>
      <c r="L1059" s="71"/>
      <c r="M1059" s="2"/>
      <c r="N1059" s="2"/>
      <c r="O1059" s="2"/>
      <c r="P1059" s="2"/>
      <c r="Q1059" s="2"/>
      <c r="R1059" s="2"/>
      <c r="S1059" s="2"/>
      <c r="T1059" s="2"/>
      <c r="U1059" s="2"/>
    </row>
    <row r="1060">
      <c r="A1060" s="72"/>
      <c r="B1060" s="72"/>
      <c r="C1060" s="71"/>
      <c r="D1060" s="71"/>
      <c r="E1060" s="71"/>
      <c r="F1060" s="71"/>
      <c r="G1060" s="71"/>
      <c r="H1060" s="71"/>
      <c r="I1060" s="71"/>
      <c r="J1060" s="71"/>
      <c r="K1060" s="71"/>
      <c r="L1060" s="71"/>
      <c r="M1060" s="2"/>
      <c r="N1060" s="2"/>
      <c r="O1060" s="2"/>
      <c r="P1060" s="2"/>
      <c r="Q1060" s="2"/>
      <c r="R1060" s="2"/>
      <c r="S1060" s="2"/>
      <c r="T1060" s="2"/>
      <c r="U1060" s="2"/>
    </row>
    <row r="1061">
      <c r="A1061" s="72"/>
      <c r="B1061" s="72"/>
      <c r="C1061" s="71"/>
      <c r="D1061" s="71"/>
      <c r="E1061" s="71"/>
      <c r="F1061" s="71"/>
      <c r="G1061" s="71"/>
      <c r="H1061" s="71"/>
      <c r="I1061" s="71"/>
      <c r="J1061" s="71"/>
      <c r="K1061" s="71"/>
      <c r="L1061" s="71"/>
      <c r="M1061" s="2"/>
      <c r="N1061" s="2"/>
      <c r="O1061" s="2"/>
      <c r="P1061" s="2"/>
      <c r="Q1061" s="2"/>
      <c r="R1061" s="2"/>
      <c r="S1061" s="2"/>
      <c r="T1061" s="2"/>
      <c r="U1061" s="2"/>
    </row>
    <row r="1062">
      <c r="A1062" s="72"/>
      <c r="B1062" s="72"/>
      <c r="C1062" s="71"/>
      <c r="D1062" s="71"/>
      <c r="E1062" s="71"/>
      <c r="F1062" s="71"/>
      <c r="G1062" s="71"/>
      <c r="H1062" s="71"/>
      <c r="I1062" s="71"/>
      <c r="J1062" s="71"/>
      <c r="K1062" s="71"/>
      <c r="L1062" s="71"/>
      <c r="M1062" s="2"/>
      <c r="N1062" s="2"/>
      <c r="O1062" s="2"/>
      <c r="P1062" s="2"/>
      <c r="Q1062" s="2"/>
      <c r="R1062" s="2"/>
      <c r="S1062" s="2"/>
      <c r="T1062" s="2"/>
      <c r="U1062" s="2"/>
    </row>
    <row r="1063">
      <c r="A1063" s="72"/>
      <c r="B1063" s="72"/>
      <c r="C1063" s="71"/>
      <c r="D1063" s="71"/>
      <c r="E1063" s="71"/>
      <c r="F1063" s="71"/>
      <c r="G1063" s="71"/>
      <c r="H1063" s="71"/>
      <c r="I1063" s="71"/>
      <c r="J1063" s="71"/>
      <c r="K1063" s="71"/>
      <c r="L1063" s="71"/>
      <c r="M1063" s="2"/>
      <c r="N1063" s="2"/>
      <c r="O1063" s="2"/>
      <c r="P1063" s="2"/>
      <c r="Q1063" s="2"/>
      <c r="R1063" s="2"/>
      <c r="S1063" s="2"/>
      <c r="T1063" s="2"/>
      <c r="U1063" s="2"/>
    </row>
    <row r="1064">
      <c r="A1064" s="72"/>
      <c r="B1064" s="72"/>
      <c r="C1064" s="71"/>
      <c r="D1064" s="71"/>
      <c r="E1064" s="71"/>
      <c r="F1064" s="71"/>
      <c r="G1064" s="71"/>
      <c r="H1064" s="71"/>
      <c r="I1064" s="71"/>
      <c r="J1064" s="71"/>
      <c r="K1064" s="71"/>
      <c r="L1064" s="71"/>
      <c r="M1064" s="2"/>
      <c r="N1064" s="2"/>
      <c r="O1064" s="2"/>
      <c r="P1064" s="2"/>
      <c r="Q1064" s="2"/>
      <c r="R1064" s="2"/>
      <c r="S1064" s="2"/>
      <c r="T1064" s="2"/>
      <c r="U1064" s="2"/>
    </row>
    <row r="1065">
      <c r="A1065" s="72"/>
      <c r="B1065" s="72"/>
      <c r="C1065" s="71"/>
      <c r="D1065" s="71"/>
      <c r="E1065" s="71"/>
      <c r="F1065" s="71"/>
      <c r="G1065" s="71"/>
      <c r="H1065" s="71"/>
      <c r="I1065" s="71"/>
      <c r="J1065" s="71"/>
      <c r="K1065" s="71"/>
      <c r="L1065" s="71"/>
      <c r="M1065" s="2"/>
      <c r="N1065" s="2"/>
      <c r="O1065" s="2"/>
      <c r="P1065" s="2"/>
      <c r="Q1065" s="2"/>
      <c r="R1065" s="2"/>
      <c r="S1065" s="2"/>
      <c r="T1065" s="2"/>
      <c r="U1065" s="2"/>
    </row>
    <row r="1066">
      <c r="A1066" s="72"/>
      <c r="B1066" s="72"/>
      <c r="C1066" s="71"/>
      <c r="D1066" s="71"/>
      <c r="E1066" s="71"/>
      <c r="F1066" s="71"/>
      <c r="G1066" s="71"/>
      <c r="H1066" s="71"/>
      <c r="I1066" s="71"/>
      <c r="J1066" s="71"/>
      <c r="K1066" s="71"/>
      <c r="L1066" s="71"/>
      <c r="M1066" s="2"/>
      <c r="N1066" s="2"/>
      <c r="O1066" s="2"/>
      <c r="P1066" s="2"/>
      <c r="Q1066" s="2"/>
      <c r="R1066" s="2"/>
      <c r="S1066" s="2"/>
      <c r="T1066" s="2"/>
      <c r="U1066" s="2"/>
    </row>
    <row r="1067">
      <c r="A1067" s="72"/>
      <c r="B1067" s="72"/>
      <c r="C1067" s="71"/>
      <c r="D1067" s="71"/>
      <c r="E1067" s="71"/>
      <c r="F1067" s="71"/>
      <c r="G1067" s="71"/>
      <c r="H1067" s="71"/>
      <c r="I1067" s="71"/>
      <c r="J1067" s="71"/>
      <c r="K1067" s="71"/>
      <c r="L1067" s="71"/>
      <c r="M1067" s="2"/>
      <c r="N1067" s="2"/>
      <c r="O1067" s="2"/>
      <c r="P1067" s="2"/>
      <c r="Q1067" s="2"/>
      <c r="R1067" s="2"/>
      <c r="S1067" s="2"/>
      <c r="T1067" s="2"/>
      <c r="U1067" s="2"/>
    </row>
    <row r="1068">
      <c r="A1068" s="72"/>
      <c r="B1068" s="72"/>
      <c r="C1068" s="71"/>
      <c r="D1068" s="71"/>
      <c r="E1068" s="71"/>
      <c r="F1068" s="71"/>
      <c r="G1068" s="71"/>
      <c r="H1068" s="71"/>
      <c r="I1068" s="71"/>
      <c r="J1068" s="71"/>
      <c r="K1068" s="71"/>
      <c r="L1068" s="71"/>
      <c r="M1068" s="2"/>
      <c r="N1068" s="2"/>
      <c r="O1068" s="2"/>
      <c r="P1068" s="2"/>
      <c r="Q1068" s="2"/>
      <c r="R1068" s="2"/>
      <c r="S1068" s="2"/>
      <c r="T1068" s="2"/>
      <c r="U1068" s="2"/>
    </row>
    <row r="1069">
      <c r="A1069" s="72"/>
      <c r="B1069" s="72"/>
      <c r="C1069" s="71"/>
      <c r="D1069" s="71"/>
      <c r="E1069" s="71"/>
      <c r="F1069" s="71"/>
      <c r="G1069" s="71"/>
      <c r="H1069" s="71"/>
      <c r="I1069" s="71"/>
      <c r="J1069" s="71"/>
      <c r="K1069" s="71"/>
      <c r="L1069" s="71"/>
      <c r="M1069" s="2"/>
      <c r="N1069" s="2"/>
      <c r="O1069" s="2"/>
      <c r="P1069" s="2"/>
      <c r="Q1069" s="2"/>
      <c r="R1069" s="2"/>
      <c r="S1069" s="2"/>
      <c r="T1069" s="2"/>
      <c r="U1069" s="2"/>
    </row>
    <row r="1070">
      <c r="A1070" s="72"/>
      <c r="B1070" s="72"/>
      <c r="C1070" s="71"/>
      <c r="D1070" s="71"/>
      <c r="E1070" s="71"/>
      <c r="F1070" s="71"/>
      <c r="G1070" s="71"/>
      <c r="H1070" s="71"/>
      <c r="I1070" s="71"/>
      <c r="J1070" s="71"/>
      <c r="K1070" s="71"/>
      <c r="L1070" s="71"/>
      <c r="M1070" s="2"/>
      <c r="N1070" s="2"/>
      <c r="O1070" s="2"/>
      <c r="P1070" s="2"/>
      <c r="Q1070" s="2"/>
      <c r="R1070" s="2"/>
      <c r="S1070" s="2"/>
      <c r="T1070" s="2"/>
      <c r="U1070" s="2"/>
    </row>
    <row r="1071">
      <c r="A1071" s="72"/>
      <c r="B1071" s="72"/>
      <c r="C1071" s="71"/>
      <c r="D1071" s="71"/>
      <c r="E1071" s="71"/>
      <c r="F1071" s="71"/>
      <c r="G1071" s="71"/>
      <c r="H1071" s="71"/>
      <c r="I1071" s="71"/>
      <c r="J1071" s="71"/>
      <c r="K1071" s="71"/>
      <c r="L1071" s="71"/>
      <c r="M1071" s="2"/>
      <c r="N1071" s="2"/>
      <c r="O1071" s="2"/>
      <c r="P1071" s="2"/>
      <c r="Q1071" s="2"/>
      <c r="R1071" s="2"/>
      <c r="S1071" s="2"/>
      <c r="T1071" s="2"/>
      <c r="U1071" s="2"/>
    </row>
    <row r="1072">
      <c r="A1072" s="72"/>
      <c r="B1072" s="72"/>
      <c r="C1072" s="71"/>
      <c r="D1072" s="71"/>
      <c r="E1072" s="71"/>
      <c r="F1072" s="71"/>
      <c r="G1072" s="71"/>
      <c r="H1072" s="71"/>
      <c r="I1072" s="71"/>
      <c r="J1072" s="71"/>
      <c r="K1072" s="71"/>
      <c r="L1072" s="71"/>
      <c r="M1072" s="2"/>
      <c r="N1072" s="2"/>
      <c r="O1072" s="2"/>
      <c r="P1072" s="2"/>
      <c r="Q1072" s="2"/>
      <c r="R1072" s="2"/>
      <c r="S1072" s="2"/>
      <c r="T1072" s="2"/>
      <c r="U1072" s="2"/>
    </row>
    <row r="1073">
      <c r="A1073" s="72"/>
      <c r="B1073" s="72"/>
      <c r="C1073" s="71"/>
      <c r="D1073" s="71"/>
      <c r="E1073" s="71"/>
      <c r="F1073" s="71"/>
      <c r="G1073" s="71"/>
      <c r="H1073" s="71"/>
      <c r="I1073" s="71"/>
      <c r="J1073" s="71"/>
      <c r="K1073" s="71"/>
      <c r="L1073" s="71"/>
      <c r="M1073" s="2"/>
      <c r="N1073" s="2"/>
      <c r="O1073" s="2"/>
      <c r="P1073" s="2"/>
      <c r="Q1073" s="2"/>
      <c r="R1073" s="2"/>
      <c r="S1073" s="2"/>
      <c r="T1073" s="2"/>
      <c r="U1073" s="2"/>
    </row>
    <row r="1074">
      <c r="A1074" s="72"/>
      <c r="B1074" s="72"/>
      <c r="C1074" s="71"/>
      <c r="D1074" s="71"/>
      <c r="E1074" s="71"/>
      <c r="F1074" s="71"/>
      <c r="G1074" s="71"/>
      <c r="H1074" s="71"/>
      <c r="I1074" s="71"/>
      <c r="J1074" s="71"/>
      <c r="K1074" s="71"/>
      <c r="L1074" s="71"/>
      <c r="M1074" s="2"/>
      <c r="N1074" s="2"/>
      <c r="O1074" s="2"/>
      <c r="P1074" s="2"/>
      <c r="Q1074" s="2"/>
      <c r="R1074" s="2"/>
      <c r="S1074" s="2"/>
      <c r="T1074" s="2"/>
      <c r="U1074" s="2"/>
    </row>
    <row r="1075">
      <c r="A1075" s="72"/>
      <c r="B1075" s="72"/>
      <c r="C1075" s="71"/>
      <c r="D1075" s="71"/>
      <c r="E1075" s="71"/>
      <c r="F1075" s="71"/>
      <c r="G1075" s="71"/>
      <c r="H1075" s="71"/>
      <c r="I1075" s="71"/>
      <c r="J1075" s="71"/>
      <c r="K1075" s="71"/>
      <c r="L1075" s="71"/>
      <c r="M1075" s="2"/>
      <c r="N1075" s="2"/>
      <c r="O1075" s="2"/>
      <c r="P1075" s="2"/>
      <c r="Q1075" s="2"/>
      <c r="R1075" s="2"/>
      <c r="S1075" s="2"/>
      <c r="T1075" s="2"/>
      <c r="U1075" s="2"/>
    </row>
    <row r="1076">
      <c r="A1076" s="72"/>
      <c r="B1076" s="72"/>
      <c r="C1076" s="71"/>
      <c r="D1076" s="71"/>
      <c r="E1076" s="71"/>
      <c r="F1076" s="71"/>
      <c r="G1076" s="71"/>
      <c r="H1076" s="71"/>
      <c r="I1076" s="71"/>
      <c r="J1076" s="71"/>
      <c r="K1076" s="71"/>
      <c r="L1076" s="71"/>
      <c r="M1076" s="2"/>
      <c r="N1076" s="2"/>
      <c r="O1076" s="2"/>
      <c r="P1076" s="2"/>
      <c r="Q1076" s="2"/>
      <c r="R1076" s="2"/>
      <c r="S1076" s="2"/>
      <c r="T1076" s="2"/>
      <c r="U1076" s="2"/>
    </row>
    <row r="1077">
      <c r="A1077" s="72"/>
      <c r="B1077" s="72"/>
      <c r="C1077" s="71"/>
      <c r="D1077" s="71"/>
      <c r="E1077" s="71"/>
      <c r="F1077" s="71"/>
      <c r="G1077" s="71"/>
      <c r="H1077" s="71"/>
      <c r="I1077" s="71"/>
      <c r="J1077" s="71"/>
      <c r="K1077" s="71"/>
      <c r="L1077" s="71"/>
      <c r="M1077" s="2"/>
      <c r="N1077" s="2"/>
      <c r="O1077" s="2"/>
      <c r="P1077" s="2"/>
      <c r="Q1077" s="2"/>
      <c r="R1077" s="2"/>
      <c r="S1077" s="2"/>
      <c r="T1077" s="2"/>
      <c r="U1077" s="2"/>
    </row>
    <row r="1078">
      <c r="A1078" s="72"/>
      <c r="B1078" s="72"/>
      <c r="C1078" s="71"/>
      <c r="D1078" s="71"/>
      <c r="E1078" s="71"/>
      <c r="F1078" s="71"/>
      <c r="G1078" s="71"/>
      <c r="H1078" s="71"/>
      <c r="I1078" s="71"/>
      <c r="J1078" s="71"/>
      <c r="K1078" s="71"/>
      <c r="L1078" s="71"/>
      <c r="M1078" s="2"/>
      <c r="N1078" s="2"/>
      <c r="O1078" s="2"/>
      <c r="P1078" s="2"/>
      <c r="Q1078" s="2"/>
      <c r="R1078" s="2"/>
      <c r="S1078" s="2"/>
      <c r="T1078" s="2"/>
      <c r="U1078" s="2"/>
    </row>
    <row r="1079">
      <c r="A1079" s="72"/>
      <c r="B1079" s="72"/>
      <c r="C1079" s="71"/>
      <c r="D1079" s="71"/>
      <c r="E1079" s="71"/>
      <c r="F1079" s="71"/>
      <c r="G1079" s="71"/>
      <c r="H1079" s="71"/>
      <c r="I1079" s="71"/>
      <c r="J1079" s="71"/>
      <c r="K1079" s="71"/>
      <c r="L1079" s="71"/>
      <c r="M1079" s="2"/>
      <c r="N1079" s="2"/>
      <c r="O1079" s="2"/>
      <c r="P1079" s="2"/>
      <c r="Q1079" s="2"/>
      <c r="R1079" s="2"/>
      <c r="S1079" s="2"/>
      <c r="T1079" s="2"/>
      <c r="U1079" s="2"/>
    </row>
    <row r="1080">
      <c r="A1080" s="72"/>
      <c r="B1080" s="72"/>
      <c r="C1080" s="71"/>
      <c r="D1080" s="71"/>
      <c r="E1080" s="71"/>
      <c r="F1080" s="71"/>
      <c r="G1080" s="71"/>
      <c r="H1080" s="71"/>
      <c r="I1080" s="71"/>
      <c r="J1080" s="71"/>
      <c r="K1080" s="71"/>
      <c r="L1080" s="71"/>
      <c r="M1080" s="2"/>
      <c r="N1080" s="2"/>
      <c r="O1080" s="2"/>
      <c r="P1080" s="2"/>
      <c r="Q1080" s="2"/>
      <c r="R1080" s="2"/>
      <c r="S1080" s="2"/>
      <c r="T1080" s="2"/>
      <c r="U1080" s="2"/>
    </row>
    <row r="1081">
      <c r="A1081" s="72"/>
      <c r="B1081" s="72"/>
      <c r="C1081" s="71"/>
      <c r="D1081" s="71"/>
      <c r="E1081" s="71"/>
      <c r="F1081" s="71"/>
      <c r="G1081" s="71"/>
      <c r="H1081" s="71"/>
      <c r="I1081" s="71"/>
      <c r="J1081" s="71"/>
      <c r="K1081" s="71"/>
      <c r="L1081" s="71"/>
      <c r="M1081" s="2"/>
      <c r="N1081" s="2"/>
      <c r="O1081" s="2"/>
      <c r="P1081" s="2"/>
      <c r="Q1081" s="2"/>
      <c r="R1081" s="2"/>
      <c r="S1081" s="2"/>
      <c r="T1081" s="2"/>
      <c r="U1081" s="2"/>
    </row>
    <row r="1082">
      <c r="A1082" s="72"/>
      <c r="B1082" s="72"/>
      <c r="C1082" s="71"/>
      <c r="D1082" s="71"/>
      <c r="E1082" s="71"/>
      <c r="F1082" s="71"/>
      <c r="G1082" s="71"/>
      <c r="H1082" s="71"/>
      <c r="I1082" s="71"/>
      <c r="J1082" s="71"/>
      <c r="K1082" s="71"/>
      <c r="L1082" s="71"/>
      <c r="M1082" s="2"/>
      <c r="N1082" s="2"/>
      <c r="O1082" s="2"/>
      <c r="P1082" s="2"/>
      <c r="Q1082" s="2"/>
      <c r="R1082" s="2"/>
      <c r="S1082" s="2"/>
      <c r="T1082" s="2"/>
      <c r="U1082" s="2"/>
    </row>
    <row r="1083">
      <c r="A1083" s="72"/>
      <c r="B1083" s="72"/>
      <c r="C1083" s="71"/>
      <c r="D1083" s="71"/>
      <c r="E1083" s="71"/>
      <c r="F1083" s="71"/>
      <c r="G1083" s="71"/>
      <c r="H1083" s="71"/>
      <c r="I1083" s="71"/>
      <c r="J1083" s="71"/>
      <c r="K1083" s="71"/>
      <c r="L1083" s="71"/>
      <c r="M1083" s="2"/>
      <c r="N1083" s="2"/>
      <c r="O1083" s="2"/>
      <c r="P1083" s="2"/>
      <c r="Q1083" s="2"/>
      <c r="R1083" s="2"/>
      <c r="S1083" s="2"/>
      <c r="T1083" s="2"/>
      <c r="U1083" s="2"/>
    </row>
    <row r="1084">
      <c r="A1084" s="72"/>
      <c r="B1084" s="72"/>
      <c r="C1084" s="71"/>
      <c r="D1084" s="71"/>
      <c r="E1084" s="71"/>
      <c r="F1084" s="71"/>
      <c r="G1084" s="71"/>
      <c r="H1084" s="71"/>
      <c r="I1084" s="71"/>
      <c r="J1084" s="71"/>
      <c r="K1084" s="71"/>
      <c r="L1084" s="71"/>
      <c r="M1084" s="2"/>
      <c r="N1084" s="2"/>
      <c r="O1084" s="2"/>
      <c r="P1084" s="2"/>
      <c r="Q1084" s="2"/>
      <c r="R1084" s="2"/>
      <c r="S1084" s="2"/>
      <c r="T1084" s="2"/>
      <c r="U1084" s="2"/>
    </row>
    <row r="1085">
      <c r="A1085" s="72"/>
      <c r="B1085" s="72"/>
      <c r="C1085" s="71"/>
      <c r="D1085" s="71"/>
      <c r="E1085" s="71"/>
      <c r="F1085" s="71"/>
      <c r="G1085" s="71"/>
      <c r="H1085" s="71"/>
      <c r="I1085" s="71"/>
      <c r="J1085" s="71"/>
      <c r="K1085" s="71"/>
      <c r="L1085" s="71"/>
      <c r="M1085" s="2"/>
      <c r="N1085" s="2"/>
      <c r="O1085" s="2"/>
      <c r="P1085" s="2"/>
      <c r="Q1085" s="2"/>
      <c r="R1085" s="2"/>
      <c r="S1085" s="2"/>
      <c r="T1085" s="2"/>
      <c r="U1085" s="2"/>
    </row>
    <row r="1086">
      <c r="A1086" s="72"/>
      <c r="B1086" s="72"/>
      <c r="C1086" s="71"/>
      <c r="D1086" s="71"/>
      <c r="E1086" s="71"/>
      <c r="F1086" s="71"/>
      <c r="G1086" s="71"/>
      <c r="H1086" s="71"/>
      <c r="I1086" s="71"/>
      <c r="J1086" s="71"/>
      <c r="K1086" s="71"/>
      <c r="L1086" s="71"/>
      <c r="M1086" s="2"/>
      <c r="N1086" s="2"/>
      <c r="O1086" s="2"/>
      <c r="P1086" s="2"/>
      <c r="Q1086" s="2"/>
      <c r="R1086" s="2"/>
      <c r="S1086" s="2"/>
      <c r="T1086" s="2"/>
      <c r="U1086" s="2"/>
    </row>
    <row r="1087">
      <c r="A1087" s="72"/>
      <c r="B1087" s="72"/>
      <c r="C1087" s="71"/>
      <c r="D1087" s="71"/>
      <c r="E1087" s="71"/>
      <c r="F1087" s="71"/>
      <c r="G1087" s="71"/>
      <c r="H1087" s="71"/>
      <c r="I1087" s="71"/>
      <c r="J1087" s="71"/>
      <c r="K1087" s="71"/>
      <c r="L1087" s="71"/>
      <c r="M1087" s="2"/>
      <c r="N1087" s="2"/>
      <c r="O1087" s="2"/>
      <c r="P1087" s="2"/>
      <c r="Q1087" s="2"/>
      <c r="R1087" s="2"/>
      <c r="S1087" s="2"/>
      <c r="T1087" s="2"/>
      <c r="U1087" s="2"/>
    </row>
    <row r="1088">
      <c r="A1088" s="72"/>
      <c r="B1088" s="72"/>
      <c r="C1088" s="71"/>
      <c r="D1088" s="71"/>
      <c r="E1088" s="71"/>
      <c r="F1088" s="71"/>
      <c r="G1088" s="71"/>
      <c r="H1088" s="71"/>
      <c r="I1088" s="71"/>
      <c r="J1088" s="71"/>
      <c r="K1088" s="71"/>
      <c r="L1088" s="71"/>
      <c r="M1088" s="2"/>
      <c r="N1088" s="2"/>
      <c r="O1088" s="2"/>
      <c r="P1088" s="2"/>
      <c r="Q1088" s="2"/>
      <c r="R1088" s="2"/>
      <c r="S1088" s="2"/>
      <c r="T1088" s="2"/>
      <c r="U1088" s="2"/>
    </row>
    <row r="1089">
      <c r="A1089" s="72"/>
      <c r="B1089" s="72"/>
      <c r="C1089" s="71"/>
      <c r="D1089" s="71"/>
      <c r="E1089" s="71"/>
      <c r="F1089" s="71"/>
      <c r="G1089" s="71"/>
      <c r="H1089" s="71"/>
      <c r="I1089" s="71"/>
      <c r="J1089" s="71"/>
      <c r="K1089" s="71"/>
      <c r="L1089" s="71"/>
      <c r="M1089" s="2"/>
      <c r="N1089" s="2"/>
      <c r="O1089" s="2"/>
      <c r="P1089" s="2"/>
      <c r="Q1089" s="2"/>
      <c r="R1089" s="2"/>
      <c r="S1089" s="2"/>
      <c r="T1089" s="2"/>
      <c r="U1089" s="2"/>
    </row>
    <row r="1090">
      <c r="A1090" s="72"/>
      <c r="B1090" s="72"/>
      <c r="C1090" s="71"/>
      <c r="D1090" s="71"/>
      <c r="E1090" s="71"/>
      <c r="F1090" s="71"/>
      <c r="G1090" s="71"/>
      <c r="H1090" s="71"/>
      <c r="I1090" s="71"/>
      <c r="J1090" s="71"/>
      <c r="K1090" s="71"/>
      <c r="L1090" s="71"/>
      <c r="M1090" s="2"/>
      <c r="N1090" s="2"/>
      <c r="O1090" s="2"/>
      <c r="P1090" s="2"/>
      <c r="Q1090" s="2"/>
      <c r="R1090" s="2"/>
      <c r="S1090" s="2"/>
      <c r="T1090" s="2"/>
      <c r="U1090" s="2"/>
    </row>
    <row r="1091">
      <c r="A1091" s="72"/>
      <c r="B1091" s="72"/>
      <c r="C1091" s="71"/>
      <c r="D1091" s="71"/>
      <c r="E1091" s="71"/>
      <c r="F1091" s="71"/>
      <c r="G1091" s="71"/>
      <c r="H1091" s="71"/>
      <c r="I1091" s="71"/>
      <c r="J1091" s="71"/>
      <c r="K1091" s="71"/>
      <c r="L1091" s="71"/>
      <c r="M1091" s="2"/>
      <c r="N1091" s="2"/>
      <c r="O1091" s="2"/>
      <c r="P1091" s="2"/>
      <c r="Q1091" s="2"/>
      <c r="R1091" s="2"/>
      <c r="S1091" s="2"/>
      <c r="T1091" s="2"/>
      <c r="U1091" s="2"/>
    </row>
    <row r="1092">
      <c r="A1092" s="72"/>
      <c r="B1092" s="72"/>
      <c r="C1092" s="71"/>
      <c r="D1092" s="71"/>
      <c r="E1092" s="71"/>
      <c r="F1092" s="71"/>
      <c r="G1092" s="71"/>
      <c r="H1092" s="71"/>
      <c r="I1092" s="71"/>
      <c r="J1092" s="71"/>
      <c r="K1092" s="71"/>
      <c r="L1092" s="71"/>
      <c r="M1092" s="2"/>
      <c r="N1092" s="2"/>
      <c r="O1092" s="2"/>
      <c r="P1092" s="2"/>
      <c r="Q1092" s="2"/>
      <c r="R1092" s="2"/>
      <c r="S1092" s="2"/>
      <c r="T1092" s="2"/>
      <c r="U1092" s="2"/>
    </row>
    <row r="1093">
      <c r="A1093" s="72"/>
      <c r="B1093" s="72"/>
      <c r="C1093" s="71"/>
      <c r="D1093" s="71"/>
      <c r="E1093" s="71"/>
      <c r="F1093" s="71"/>
      <c r="G1093" s="71"/>
      <c r="H1093" s="71"/>
      <c r="I1093" s="71"/>
      <c r="J1093" s="71"/>
      <c r="K1093" s="71"/>
      <c r="L1093" s="71"/>
      <c r="M1093" s="2"/>
      <c r="N1093" s="2"/>
      <c r="O1093" s="2"/>
      <c r="P1093" s="2"/>
      <c r="Q1093" s="2"/>
      <c r="R1093" s="2"/>
      <c r="S1093" s="2"/>
      <c r="T1093" s="2"/>
      <c r="U1093" s="2"/>
    </row>
    <row r="1094">
      <c r="A1094" s="72"/>
      <c r="B1094" s="72"/>
      <c r="C1094" s="71"/>
      <c r="D1094" s="71"/>
      <c r="E1094" s="71"/>
      <c r="F1094" s="71"/>
      <c r="G1094" s="71"/>
      <c r="H1094" s="71"/>
      <c r="I1094" s="71"/>
      <c r="J1094" s="71"/>
      <c r="K1094" s="71"/>
      <c r="L1094" s="71"/>
      <c r="M1094" s="2"/>
      <c r="N1094" s="2"/>
      <c r="O1094" s="2"/>
      <c r="P1094" s="2"/>
      <c r="Q1094" s="2"/>
      <c r="R1094" s="2"/>
      <c r="S1094" s="2"/>
      <c r="T1094" s="2"/>
      <c r="U1094" s="2"/>
    </row>
    <row r="1095">
      <c r="A1095" s="72"/>
      <c r="B1095" s="72"/>
      <c r="C1095" s="71"/>
      <c r="D1095" s="71"/>
      <c r="E1095" s="71"/>
      <c r="F1095" s="71"/>
      <c r="G1095" s="71"/>
      <c r="H1095" s="71"/>
      <c r="I1095" s="71"/>
      <c r="J1095" s="71"/>
      <c r="K1095" s="71"/>
      <c r="L1095" s="71"/>
      <c r="M1095" s="2"/>
      <c r="N1095" s="2"/>
      <c r="O1095" s="2"/>
      <c r="P1095" s="2"/>
      <c r="Q1095" s="2"/>
      <c r="R1095" s="2"/>
      <c r="S1095" s="2"/>
      <c r="T1095" s="2"/>
      <c r="U1095" s="2"/>
    </row>
    <row r="1096">
      <c r="A1096" s="72"/>
      <c r="B1096" s="72"/>
      <c r="C1096" s="71"/>
      <c r="D1096" s="71"/>
      <c r="E1096" s="71"/>
      <c r="F1096" s="71"/>
      <c r="G1096" s="71"/>
      <c r="H1096" s="71"/>
      <c r="I1096" s="71"/>
      <c r="J1096" s="71"/>
      <c r="K1096" s="71"/>
      <c r="L1096" s="71"/>
      <c r="M1096" s="2"/>
      <c r="N1096" s="2"/>
      <c r="O1096" s="2"/>
      <c r="P1096" s="2"/>
      <c r="Q1096" s="2"/>
      <c r="R1096" s="2"/>
      <c r="S1096" s="2"/>
      <c r="T1096" s="2"/>
      <c r="U1096" s="2"/>
    </row>
    <row r="1097">
      <c r="A1097" s="72"/>
      <c r="B1097" s="72"/>
      <c r="C1097" s="71"/>
      <c r="D1097" s="71"/>
      <c r="E1097" s="71"/>
      <c r="F1097" s="71"/>
      <c r="G1097" s="71"/>
      <c r="H1097" s="71"/>
      <c r="I1097" s="71"/>
      <c r="J1097" s="71"/>
      <c r="K1097" s="71"/>
      <c r="L1097" s="71"/>
      <c r="M1097" s="2"/>
      <c r="N1097" s="2"/>
      <c r="O1097" s="2"/>
      <c r="P1097" s="2"/>
      <c r="Q1097" s="2"/>
      <c r="R1097" s="2"/>
      <c r="S1097" s="2"/>
      <c r="T1097" s="2"/>
      <c r="U1097" s="2"/>
    </row>
    <row r="1098">
      <c r="A1098" s="72"/>
      <c r="B1098" s="72"/>
      <c r="C1098" s="71"/>
      <c r="D1098" s="71"/>
      <c r="E1098" s="71"/>
      <c r="F1098" s="71"/>
      <c r="G1098" s="71"/>
      <c r="H1098" s="71"/>
      <c r="I1098" s="71"/>
      <c r="J1098" s="71"/>
      <c r="K1098" s="71"/>
      <c r="L1098" s="71"/>
      <c r="M1098" s="2"/>
      <c r="N1098" s="2"/>
      <c r="O1098" s="2"/>
      <c r="P1098" s="2"/>
      <c r="Q1098" s="2"/>
      <c r="R1098" s="2"/>
      <c r="S1098" s="2"/>
      <c r="T1098" s="2"/>
      <c r="U1098" s="2"/>
    </row>
    <row r="1099">
      <c r="A1099" s="72"/>
      <c r="B1099" s="72"/>
      <c r="C1099" s="71"/>
      <c r="D1099" s="71"/>
      <c r="E1099" s="71"/>
      <c r="F1099" s="71"/>
      <c r="G1099" s="71"/>
      <c r="H1099" s="71"/>
      <c r="I1099" s="71"/>
      <c r="J1099" s="71"/>
      <c r="K1099" s="71"/>
      <c r="L1099" s="71"/>
      <c r="M1099" s="2"/>
      <c r="N1099" s="2"/>
      <c r="O1099" s="2"/>
      <c r="P1099" s="2"/>
      <c r="Q1099" s="2"/>
      <c r="R1099" s="2"/>
      <c r="S1099" s="2"/>
      <c r="T1099" s="2"/>
      <c r="U1099" s="2"/>
    </row>
    <row r="1100">
      <c r="A1100" s="72"/>
      <c r="B1100" s="72"/>
      <c r="C1100" s="71"/>
      <c r="D1100" s="71"/>
      <c r="E1100" s="71"/>
      <c r="F1100" s="71"/>
      <c r="G1100" s="71"/>
      <c r="H1100" s="71"/>
      <c r="I1100" s="71"/>
      <c r="J1100" s="71"/>
      <c r="K1100" s="71"/>
      <c r="L1100" s="71"/>
      <c r="M1100" s="2"/>
      <c r="N1100" s="2"/>
      <c r="O1100" s="2"/>
      <c r="P1100" s="2"/>
      <c r="Q1100" s="2"/>
      <c r="R1100" s="2"/>
      <c r="S1100" s="2"/>
      <c r="T1100" s="2"/>
      <c r="U1100" s="2"/>
    </row>
    <row r="1101">
      <c r="A1101" s="72"/>
      <c r="B1101" s="72"/>
      <c r="C1101" s="71"/>
      <c r="D1101" s="71"/>
      <c r="E1101" s="71"/>
      <c r="F1101" s="71"/>
      <c r="G1101" s="71"/>
      <c r="H1101" s="71"/>
      <c r="I1101" s="71"/>
      <c r="J1101" s="71"/>
      <c r="K1101" s="71"/>
      <c r="L1101" s="71"/>
      <c r="M1101" s="2"/>
      <c r="N1101" s="2"/>
      <c r="O1101" s="2"/>
      <c r="P1101" s="2"/>
      <c r="Q1101" s="2"/>
      <c r="R1101" s="2"/>
      <c r="S1101" s="2"/>
      <c r="T1101" s="2"/>
      <c r="U1101" s="2"/>
    </row>
    <row r="1102">
      <c r="A1102" s="72"/>
      <c r="B1102" s="72"/>
      <c r="C1102" s="71"/>
      <c r="D1102" s="71"/>
      <c r="E1102" s="71"/>
      <c r="F1102" s="71"/>
      <c r="G1102" s="71"/>
      <c r="H1102" s="71"/>
      <c r="I1102" s="71"/>
      <c r="J1102" s="71"/>
      <c r="K1102" s="71"/>
      <c r="L1102" s="71"/>
      <c r="M1102" s="2"/>
      <c r="N1102" s="2"/>
      <c r="O1102" s="2"/>
      <c r="P1102" s="2"/>
      <c r="Q1102" s="2"/>
      <c r="R1102" s="2"/>
      <c r="S1102" s="2"/>
      <c r="T1102" s="2"/>
      <c r="U1102" s="2"/>
    </row>
    <row r="1103">
      <c r="A1103" s="72"/>
      <c r="B1103" s="72"/>
      <c r="C1103" s="71"/>
      <c r="D1103" s="71"/>
      <c r="E1103" s="71"/>
      <c r="F1103" s="71"/>
      <c r="G1103" s="71"/>
      <c r="H1103" s="71"/>
      <c r="I1103" s="71"/>
      <c r="J1103" s="71"/>
      <c r="K1103" s="71"/>
      <c r="L1103" s="71"/>
      <c r="M1103" s="2"/>
      <c r="N1103" s="2"/>
      <c r="O1103" s="2"/>
      <c r="P1103" s="2"/>
      <c r="Q1103" s="2"/>
      <c r="R1103" s="2"/>
      <c r="S1103" s="2"/>
      <c r="T1103" s="2"/>
      <c r="U1103" s="2"/>
    </row>
    <row r="1104">
      <c r="A1104" s="72"/>
      <c r="B1104" s="72"/>
      <c r="C1104" s="71"/>
      <c r="D1104" s="71"/>
      <c r="E1104" s="71"/>
      <c r="F1104" s="71"/>
      <c r="G1104" s="71"/>
      <c r="H1104" s="71"/>
      <c r="I1104" s="71"/>
      <c r="J1104" s="71"/>
      <c r="K1104" s="71"/>
      <c r="L1104" s="71"/>
      <c r="M1104" s="2"/>
      <c r="N1104" s="2"/>
      <c r="O1104" s="2"/>
      <c r="P1104" s="2"/>
      <c r="Q1104" s="2"/>
      <c r="R1104" s="2"/>
      <c r="S1104" s="2"/>
      <c r="T1104" s="2"/>
      <c r="U1104" s="2"/>
    </row>
    <row r="1105">
      <c r="A1105" s="72"/>
      <c r="B1105" s="72"/>
      <c r="C1105" s="71"/>
      <c r="D1105" s="71"/>
      <c r="E1105" s="71"/>
      <c r="F1105" s="71"/>
      <c r="G1105" s="71"/>
      <c r="H1105" s="71"/>
      <c r="I1105" s="71"/>
      <c r="J1105" s="71"/>
      <c r="K1105" s="71"/>
      <c r="L1105" s="71"/>
      <c r="M1105" s="2"/>
      <c r="N1105" s="2"/>
      <c r="O1105" s="2"/>
      <c r="P1105" s="2"/>
      <c r="Q1105" s="2"/>
      <c r="R1105" s="2"/>
      <c r="S1105" s="2"/>
      <c r="T1105" s="2"/>
      <c r="U1105" s="2"/>
    </row>
    <row r="1106">
      <c r="A1106" s="72"/>
      <c r="B1106" s="72"/>
      <c r="C1106" s="71"/>
      <c r="D1106" s="71"/>
      <c r="E1106" s="71"/>
      <c r="F1106" s="71"/>
      <c r="G1106" s="71"/>
      <c r="H1106" s="71"/>
      <c r="I1106" s="71"/>
      <c r="J1106" s="71"/>
      <c r="K1106" s="71"/>
      <c r="L1106" s="71"/>
      <c r="M1106" s="2"/>
      <c r="N1106" s="2"/>
      <c r="O1106" s="2"/>
      <c r="P1106" s="2"/>
      <c r="Q1106" s="2"/>
      <c r="R1106" s="2"/>
      <c r="S1106" s="2"/>
      <c r="T1106" s="2"/>
      <c r="U1106" s="2"/>
    </row>
    <row r="1107">
      <c r="A1107" s="72"/>
      <c r="B1107" s="72"/>
      <c r="C1107" s="71"/>
      <c r="D1107" s="71"/>
      <c r="E1107" s="71"/>
      <c r="F1107" s="71"/>
      <c r="G1107" s="71"/>
      <c r="H1107" s="71"/>
      <c r="I1107" s="71"/>
      <c r="J1107" s="71"/>
      <c r="K1107" s="71"/>
      <c r="L1107" s="71"/>
      <c r="M1107" s="2"/>
      <c r="N1107" s="2"/>
      <c r="O1107" s="2"/>
      <c r="P1107" s="2"/>
      <c r="Q1107" s="2"/>
      <c r="R1107" s="2"/>
      <c r="S1107" s="2"/>
      <c r="T1107" s="2"/>
      <c r="U1107" s="2"/>
    </row>
    <row r="1108">
      <c r="A1108" s="72"/>
      <c r="B1108" s="72"/>
      <c r="C1108" s="71"/>
      <c r="D1108" s="71"/>
      <c r="E1108" s="71"/>
      <c r="F1108" s="71"/>
      <c r="G1108" s="71"/>
      <c r="H1108" s="71"/>
      <c r="I1108" s="71"/>
      <c r="J1108" s="71"/>
      <c r="K1108" s="71"/>
      <c r="L1108" s="71"/>
      <c r="M1108" s="2"/>
      <c r="N1108" s="2"/>
      <c r="O1108" s="2"/>
      <c r="P1108" s="2"/>
      <c r="Q1108" s="2"/>
      <c r="R1108" s="2"/>
      <c r="S1108" s="2"/>
      <c r="T1108" s="2"/>
      <c r="U1108" s="2"/>
    </row>
    <row r="1109">
      <c r="A1109" s="72"/>
      <c r="B1109" s="72"/>
      <c r="C1109" s="71"/>
      <c r="D1109" s="71"/>
      <c r="E1109" s="71"/>
      <c r="F1109" s="71"/>
      <c r="G1109" s="71"/>
      <c r="H1109" s="71"/>
      <c r="I1109" s="71"/>
      <c r="J1109" s="71"/>
      <c r="K1109" s="71"/>
      <c r="L1109" s="71"/>
      <c r="M1109" s="2"/>
      <c r="N1109" s="2"/>
      <c r="O1109" s="2"/>
      <c r="P1109" s="2"/>
      <c r="Q1109" s="2"/>
      <c r="R1109" s="2"/>
      <c r="S1109" s="2"/>
      <c r="T1109" s="2"/>
      <c r="U1109" s="2"/>
    </row>
    <row r="1110">
      <c r="A1110" s="72"/>
      <c r="B1110" s="72"/>
      <c r="C1110" s="71"/>
      <c r="D1110" s="71"/>
      <c r="E1110" s="71"/>
      <c r="F1110" s="71"/>
      <c r="G1110" s="71"/>
      <c r="H1110" s="71"/>
      <c r="I1110" s="71"/>
      <c r="J1110" s="71"/>
      <c r="K1110" s="71"/>
      <c r="L1110" s="71"/>
      <c r="M1110" s="2"/>
      <c r="N1110" s="2"/>
      <c r="O1110" s="2"/>
      <c r="P1110" s="2"/>
      <c r="Q1110" s="2"/>
      <c r="R1110" s="2"/>
      <c r="S1110" s="2"/>
      <c r="T1110" s="2"/>
      <c r="U1110" s="2"/>
    </row>
  </sheetData>
  <mergeCells count="227">
    <mergeCell ref="A1:L1"/>
    <mergeCell ref="A3:A5"/>
    <mergeCell ref="A6:A8"/>
    <mergeCell ref="A9:A11"/>
    <mergeCell ref="A12:A14"/>
    <mergeCell ref="A15:A17"/>
    <mergeCell ref="A18:A20"/>
    <mergeCell ref="A21:A23"/>
    <mergeCell ref="A25:A26"/>
    <mergeCell ref="A27:A28"/>
    <mergeCell ref="A29:A30"/>
    <mergeCell ref="A35:A36"/>
    <mergeCell ref="A37:A38"/>
    <mergeCell ref="A40:A41"/>
    <mergeCell ref="A43:A44"/>
    <mergeCell ref="A46:A47"/>
    <mergeCell ref="A49:A50"/>
    <mergeCell ref="A52:A53"/>
    <mergeCell ref="M54:M74"/>
    <mergeCell ref="A55:A56"/>
    <mergeCell ref="A58:A59"/>
    <mergeCell ref="A61:A62"/>
    <mergeCell ref="A64:A65"/>
    <mergeCell ref="A67:A68"/>
    <mergeCell ref="A70:A71"/>
    <mergeCell ref="A73:A74"/>
    <mergeCell ref="M75:M113"/>
    <mergeCell ref="A76:A77"/>
    <mergeCell ref="A79:A80"/>
    <mergeCell ref="A82:A83"/>
    <mergeCell ref="A85:A86"/>
    <mergeCell ref="A88:A89"/>
    <mergeCell ref="A91:A92"/>
    <mergeCell ref="A94:A95"/>
    <mergeCell ref="A97:A98"/>
    <mergeCell ref="A100:A101"/>
    <mergeCell ref="A103:A104"/>
    <mergeCell ref="A106:A107"/>
    <mergeCell ref="A109:A110"/>
    <mergeCell ref="A112:A113"/>
    <mergeCell ref="M114:M149"/>
    <mergeCell ref="A115:A116"/>
    <mergeCell ref="A118:A119"/>
    <mergeCell ref="A121:A122"/>
    <mergeCell ref="A124:A125"/>
    <mergeCell ref="A127:A128"/>
    <mergeCell ref="A130:A131"/>
    <mergeCell ref="A133:A134"/>
    <mergeCell ref="A136:A137"/>
    <mergeCell ref="A139:A140"/>
    <mergeCell ref="A142:A143"/>
    <mergeCell ref="A145:A146"/>
    <mergeCell ref="A148:A149"/>
    <mergeCell ref="A153:A154"/>
    <mergeCell ref="A156:A157"/>
    <mergeCell ref="A159:A161"/>
    <mergeCell ref="A165:A166"/>
    <mergeCell ref="A168:A169"/>
    <mergeCell ref="A171:A173"/>
    <mergeCell ref="A177:A178"/>
    <mergeCell ref="A180:A181"/>
    <mergeCell ref="A183:A185"/>
    <mergeCell ref="A189:A190"/>
    <mergeCell ref="A192:A193"/>
    <mergeCell ref="A195:A197"/>
    <mergeCell ref="A201:A202"/>
    <mergeCell ref="A204:A205"/>
    <mergeCell ref="A207:A209"/>
    <mergeCell ref="A211:A213"/>
    <mergeCell ref="A215:A217"/>
    <mergeCell ref="A219:A221"/>
    <mergeCell ref="A223:A225"/>
    <mergeCell ref="A227:A229"/>
    <mergeCell ref="A231:A233"/>
    <mergeCell ref="A235:A237"/>
    <mergeCell ref="A239:A241"/>
    <mergeCell ref="A243:A245"/>
    <mergeCell ref="A247:A249"/>
    <mergeCell ref="A251:A253"/>
    <mergeCell ref="A255:A257"/>
    <mergeCell ref="A259:A261"/>
    <mergeCell ref="A263:A265"/>
    <mergeCell ref="A267:A269"/>
    <mergeCell ref="A271:A273"/>
    <mergeCell ref="A275:A277"/>
    <mergeCell ref="A279:A281"/>
    <mergeCell ref="A283:A285"/>
    <mergeCell ref="A287:A289"/>
    <mergeCell ref="A291:A293"/>
    <mergeCell ref="A295:A297"/>
    <mergeCell ref="A299:A301"/>
    <mergeCell ref="A303:A305"/>
    <mergeCell ref="A307:A309"/>
    <mergeCell ref="A311:A313"/>
    <mergeCell ref="A315:A317"/>
    <mergeCell ref="A319:A321"/>
    <mergeCell ref="A323:A325"/>
    <mergeCell ref="A327:A329"/>
    <mergeCell ref="A331:A333"/>
    <mergeCell ref="A335:A337"/>
    <mergeCell ref="A339:A341"/>
    <mergeCell ref="A343:A345"/>
    <mergeCell ref="A347:A349"/>
    <mergeCell ref="A350:A352"/>
    <mergeCell ref="A353:A355"/>
    <mergeCell ref="A356:A358"/>
    <mergeCell ref="A360:A361"/>
    <mergeCell ref="A362:A363"/>
    <mergeCell ref="A364:A366"/>
    <mergeCell ref="A368:A370"/>
    <mergeCell ref="A372:A373"/>
    <mergeCell ref="A374:A376"/>
    <mergeCell ref="A378:A380"/>
    <mergeCell ref="A382:A383"/>
    <mergeCell ref="A384:A386"/>
    <mergeCell ref="A388:A390"/>
    <mergeCell ref="A392:A393"/>
    <mergeCell ref="A394:A396"/>
    <mergeCell ref="A398:A400"/>
    <mergeCell ref="A402:A404"/>
    <mergeCell ref="A406:A408"/>
    <mergeCell ref="A410:A412"/>
    <mergeCell ref="A415:A417"/>
    <mergeCell ref="A419:A421"/>
    <mergeCell ref="A423:A425"/>
    <mergeCell ref="A427:A429"/>
    <mergeCell ref="A431:A433"/>
    <mergeCell ref="A435:A437"/>
    <mergeCell ref="A439:A441"/>
    <mergeCell ref="A443:A445"/>
    <mergeCell ref="A447:A449"/>
    <mergeCell ref="A451:A453"/>
    <mergeCell ref="A456:A458"/>
    <mergeCell ref="A461:A463"/>
    <mergeCell ref="A466:A468"/>
    <mergeCell ref="A471:A473"/>
    <mergeCell ref="A476:A478"/>
    <mergeCell ref="A479:L479"/>
    <mergeCell ref="A481:A483"/>
    <mergeCell ref="A484:L484"/>
    <mergeCell ref="A486:A488"/>
    <mergeCell ref="A489:L489"/>
    <mergeCell ref="A490:A492"/>
    <mergeCell ref="A493:L493"/>
    <mergeCell ref="A495:A497"/>
    <mergeCell ref="A498:L498"/>
    <mergeCell ref="A500:A502"/>
    <mergeCell ref="A503:L503"/>
    <mergeCell ref="A505:A507"/>
    <mergeCell ref="A508:L508"/>
    <mergeCell ref="A509:A511"/>
    <mergeCell ref="A512:L512"/>
    <mergeCell ref="A513:A515"/>
    <mergeCell ref="A516:L516"/>
    <mergeCell ref="A517:A519"/>
    <mergeCell ref="A520:L520"/>
    <mergeCell ref="A521:A523"/>
    <mergeCell ref="A524:L524"/>
    <mergeCell ref="A525:A527"/>
    <mergeCell ref="A528:L528"/>
    <mergeCell ref="A529:A531"/>
    <mergeCell ref="A533:A535"/>
    <mergeCell ref="A536:L536"/>
    <mergeCell ref="A537:A539"/>
    <mergeCell ref="A540:L540"/>
    <mergeCell ref="A541:A543"/>
    <mergeCell ref="A544:L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70:A571"/>
    <mergeCell ref="A572:A574"/>
    <mergeCell ref="A575:A577"/>
    <mergeCell ref="A578:A580"/>
    <mergeCell ref="A581:A583"/>
    <mergeCell ref="A584:A586"/>
    <mergeCell ref="A587:A589"/>
    <mergeCell ref="A590:A592"/>
    <mergeCell ref="A593:A595"/>
    <mergeCell ref="A596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5:A7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>
      <pane xSplit="3" ySplit="3" topLeftCell="D4" activePane="bottomRight" state="frozen"/>
      <selection pane="bottomRight"/>
    </sheetView>
  </sheetViews>
  <sheetFormatPr baseColWidth="16" defaultRowHeight="16.5" customHeight="0" zeroHeight="0" thickTop="0" thickBottom="0"/>
  <cols>
    <col min="1" max="1" width="7.16" hidden="1" customWidth="1"/>
    <col min="2" max="2" width="23.22" customWidth="1"/>
    <col min="3" max="3" width="48.54" customWidth="1"/>
    <col min="4" max="4" width="14.84" customWidth="1"/>
    <col min="5" max="5" width="5.41" hidden="1" customWidth="1"/>
    <col min="6" max="6" width="5.76" hidden="1" customWidth="1"/>
    <col min="7" max="7" width="8.21" hidden="1" customWidth="1"/>
    <col min="8" max="8" width="19.73" customWidth="1"/>
    <col min="9" max="9" width="8.73" hidden="1" customWidth="1"/>
    <col min="10" max="10" width="8.21" hidden="1" customWidth="1"/>
    <col min="11" max="11" width="12.4" customWidth="1"/>
    <col min="12" max="12" width="13.79" hidden="1" customWidth="1"/>
    <col min="13" max="13" width="14.67" hidden="1" customWidth="1"/>
    <col min="14" max="14" width="-0.52" customWidth="1"/>
    <col min="15" max="15" width="16.24" customWidth="1"/>
    <col min="16" max="16" width="10.3" customWidth="1"/>
    <col min="17" max="17" width="-0.52" customWidth="1"/>
    <col min="18" max="18" width="9.78" customWidth="1"/>
    <col min="19" max="19" width="7.51" hidden="1" customWidth="1"/>
    <col min="20" max="20" width="8.38" hidden="1" customWidth="1"/>
    <col min="21" max="21" width="8.21" hidden="1" customWidth="1"/>
    <col min="22" max="22" width="11.52" hidden="1" customWidth="1"/>
    <col min="23" max="23" width="13.97" customWidth="1"/>
    <col min="24" max="24" width="13.44" customWidth="1"/>
    <col min="25" max="25" width="13.97" customWidth="1"/>
    <col min="26" max="26" width="11.7" hidden="1" customWidth="1"/>
    <col min="27" max="27" width="12.92" customWidth="1"/>
    <col min="28" max="28" width="8.9" customWidth="1"/>
    <col min="29" max="29" width="16.59" customWidth="1"/>
  </cols>
  <sheetData>
    <row r="1">
      <c r="A1" s="73" t="s">
        <v>2139</v>
      </c>
      <c r="B1" s="74" t="s">
        <v>2140</v>
      </c>
      <c r="C1" s="73" t="s">
        <v>2141</v>
      </c>
      <c r="D1" s="74" t="s">
        <v>2142</v>
      </c>
      <c r="E1" s="74"/>
      <c r="F1" s="74"/>
      <c r="G1" s="74"/>
      <c r="H1" s="74" t="s">
        <v>2143</v>
      </c>
      <c r="I1" s="74"/>
      <c r="J1" s="74"/>
      <c r="K1" s="74" t="s">
        <v>2144</v>
      </c>
      <c r="L1" s="74"/>
      <c r="M1" s="74"/>
      <c r="N1" s="75" t="s">
        <v>2145</v>
      </c>
      <c r="O1" s="74" t="s">
        <v>2146</v>
      </c>
      <c r="P1" s="74" t="s">
        <v>2147</v>
      </c>
      <c r="Q1" s="74" t="s">
        <v>2148</v>
      </c>
      <c r="R1" s="74" t="s">
        <v>2149</v>
      </c>
      <c r="S1" s="74"/>
      <c r="T1" s="74"/>
      <c r="U1" s="74"/>
      <c r="V1" s="74" t="s">
        <v>2150</v>
      </c>
      <c r="W1" s="74" t="s">
        <v>2151</v>
      </c>
      <c r="X1" s="74" t="s">
        <v>2152</v>
      </c>
      <c r="Y1" s="74" t="s">
        <v>2153</v>
      </c>
      <c r="Z1" s="74" t="s">
        <v>2154</v>
      </c>
      <c r="AA1" s="76" t="s">
        <v>2155</v>
      </c>
      <c r="AB1" s="76" t="s">
        <v>2156</v>
      </c>
      <c r="AC1" s="77" t="s">
        <v>2157</v>
      </c>
    </row>
    <row r="2" ht="29.25" customHeight="1">
      <c r="A2" s="73"/>
      <c r="B2" s="74"/>
      <c r="C2" s="73"/>
      <c r="D2" s="74"/>
      <c r="E2" s="74"/>
      <c r="F2" s="74"/>
      <c r="G2" s="74"/>
      <c r="H2" s="74" t="s">
        <v>2158</v>
      </c>
      <c r="I2" s="74"/>
      <c r="J2" s="74"/>
      <c r="K2" s="74" t="s">
        <v>2159</v>
      </c>
      <c r="L2" s="74"/>
      <c r="M2" s="74"/>
      <c r="N2" s="75"/>
      <c r="O2" s="74" t="s">
        <v>2160</v>
      </c>
      <c r="P2" s="74" t="s">
        <v>2161</v>
      </c>
      <c r="Q2" s="74"/>
      <c r="R2" s="74" t="s">
        <v>2162</v>
      </c>
      <c r="S2" s="74"/>
      <c r="T2" s="74"/>
      <c r="U2" s="74"/>
      <c r="V2" s="74"/>
      <c r="W2" s="74" t="n">
        <v>103.4</v>
      </c>
      <c r="X2" s="74"/>
      <c r="Y2" s="74"/>
      <c r="Z2" s="74"/>
      <c r="AA2" s="76"/>
      <c r="AB2" s="76"/>
      <c r="AC2" s="77"/>
    </row>
    <row r="3" ht="24.75" customHeight="1">
      <c r="A3" s="73"/>
      <c r="B3" s="74"/>
      <c r="C3" s="73" t="s">
        <v>2163</v>
      </c>
      <c r="D3" s="74" t="s">
        <v>2164</v>
      </c>
      <c r="E3" s="74" t="s">
        <v>2165</v>
      </c>
      <c r="F3" s="74" t="s">
        <v>2166</v>
      </c>
      <c r="G3" s="74" t="s">
        <v>2167</v>
      </c>
      <c r="H3" s="74" t="s">
        <v>2168</v>
      </c>
      <c r="I3" s="74" t="s">
        <v>2169</v>
      </c>
      <c r="J3" s="74" t="s">
        <v>2170</v>
      </c>
      <c r="K3" s="74" t="s">
        <v>2171</v>
      </c>
      <c r="L3" s="74" t="s">
        <v>2172</v>
      </c>
      <c r="M3" s="74" t="s">
        <v>2173</v>
      </c>
      <c r="N3" s="75" t="s">
        <v>2174</v>
      </c>
      <c r="O3" s="75" t="s">
        <v>2175</v>
      </c>
      <c r="P3" s="74" t="s">
        <v>2176</v>
      </c>
      <c r="Q3" s="74" t="s">
        <v>2177</v>
      </c>
      <c r="R3" s="74" t="s">
        <v>2178</v>
      </c>
      <c r="S3" s="74" t="s">
        <v>2179</v>
      </c>
      <c r="T3" s="74" t="s">
        <v>2180</v>
      </c>
      <c r="U3" s="74" t="s">
        <v>2181</v>
      </c>
      <c r="V3" s="74" t="s">
        <v>2182</v>
      </c>
      <c r="W3" s="74" t="s">
        <v>2183</v>
      </c>
      <c r="X3" s="74" t="s">
        <v>2184</v>
      </c>
      <c r="Y3" s="74" t="s">
        <v>2185</v>
      </c>
      <c r="Z3" s="74" t="s">
        <v>2186</v>
      </c>
      <c r="AA3" s="76" t="s">
        <v>2187</v>
      </c>
      <c r="AB3" s="76"/>
      <c r="AC3" s="77" t="s">
        <v>2188</v>
      </c>
    </row>
    <row r="4" ht="25.5" customHeight="1">
      <c r="A4" s="78"/>
      <c r="B4" s="79" t="s">
        <v>2189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80"/>
      <c r="AA4" s="81"/>
      <c r="AB4" s="82"/>
      <c r="AC4" s="83"/>
    </row>
    <row r="5" ht="50.25" customHeight="1">
      <c r="A5" s="84"/>
      <c r="B5" s="85" t="n">
        <v>45611</v>
      </c>
      <c r="C5" s="86" t="s">
        <v>2190</v>
      </c>
      <c r="D5" s="87"/>
      <c r="E5" s="88"/>
      <c r="F5" s="88"/>
      <c r="G5" s="88"/>
      <c r="H5" s="87" t="s">
        <v>2191</v>
      </c>
      <c r="I5" s="89"/>
      <c r="J5" s="89"/>
      <c r="K5" s="90" t="s">
        <v>2192</v>
      </c>
      <c r="L5" s="88"/>
      <c r="M5" s="88"/>
      <c r="N5" s="88"/>
      <c r="O5" s="91" t="n">
        <v>712</v>
      </c>
      <c r="P5" s="92" t="n">
        <v>2425</v>
      </c>
      <c r="Q5" s="91"/>
      <c r="R5" s="91" t="n">
        <v>1049</v>
      </c>
      <c r="S5" s="88"/>
      <c r="T5" s="88"/>
      <c r="U5" s="88"/>
      <c r="V5" s="88"/>
      <c r="W5" s="91" t="n">
        <v>14060</v>
      </c>
      <c r="X5" s="91" t="n">
        <v>2.31</v>
      </c>
      <c r="Y5" s="87" t="s">
        <v>2193</v>
      </c>
      <c r="Z5" s="93"/>
      <c r="AA5" s="94"/>
      <c r="AB5" s="95"/>
      <c r="AC5" s="96"/>
    </row>
    <row r="6" ht="48.75" customHeight="1">
      <c r="A6" s="84"/>
      <c r="B6" s="85" t="n">
        <v>45525</v>
      </c>
      <c r="C6" s="86" t="s">
        <v>2194</v>
      </c>
      <c r="D6" s="91" t="s">
        <v>2195</v>
      </c>
      <c r="E6" s="88"/>
      <c r="F6" s="88"/>
      <c r="G6" s="88"/>
      <c r="H6" s="91" t="s">
        <v>2196</v>
      </c>
      <c r="I6" s="89"/>
      <c r="J6" s="89"/>
      <c r="K6" s="91" t="s">
        <v>2197</v>
      </c>
      <c r="L6" s="88"/>
      <c r="M6" s="88"/>
      <c r="N6" s="88"/>
      <c r="O6" s="89"/>
      <c r="P6" s="88"/>
      <c r="Q6" s="89"/>
      <c r="R6" s="89"/>
      <c r="S6" s="88"/>
      <c r="T6" s="88"/>
      <c r="U6" s="88"/>
      <c r="V6" s="88"/>
      <c r="W6" s="89"/>
      <c r="X6" s="89"/>
      <c r="Y6" s="89"/>
      <c r="Z6" s="93"/>
      <c r="AA6" s="94"/>
      <c r="AB6" s="95"/>
      <c r="AC6" s="96"/>
    </row>
    <row r="7" ht="51.75" customHeight="1">
      <c r="A7" s="84"/>
      <c r="B7" s="97" t="n">
        <v>45358</v>
      </c>
      <c r="C7" s="86" t="s">
        <v>2198</v>
      </c>
      <c r="D7" s="92" t="n">
        <v>2.3</v>
      </c>
      <c r="E7" s="88"/>
      <c r="F7" s="88"/>
      <c r="G7" s="88"/>
      <c r="H7" s="92" t="s">
        <v>2199</v>
      </c>
      <c r="I7" s="88"/>
      <c r="J7" s="88"/>
      <c r="K7" s="88" t="n">
        <v>1.4</v>
      </c>
      <c r="L7" s="88"/>
      <c r="M7" s="88"/>
      <c r="N7" s="88"/>
      <c r="O7" s="92" t="n">
        <v>1203</v>
      </c>
      <c r="P7" s="88"/>
      <c r="Q7" s="88"/>
      <c r="R7" s="98" t="s">
        <v>2200</v>
      </c>
      <c r="S7" s="88"/>
      <c r="T7" s="88"/>
      <c r="U7" s="88"/>
      <c r="V7" s="88"/>
      <c r="W7" s="99" t="n">
        <v>45929</v>
      </c>
      <c r="X7" s="92" t="n">
        <v>3851</v>
      </c>
      <c r="Y7" s="98" t="s">
        <v>2201</v>
      </c>
      <c r="Z7" s="93"/>
      <c r="AA7" s="94"/>
      <c r="AB7" s="95"/>
      <c r="AC7" s="96"/>
    </row>
    <row r="8" ht="42" customHeight="1">
      <c r="A8" s="84"/>
      <c r="B8" s="97" t="n">
        <v>45342</v>
      </c>
      <c r="C8" s="86" t="s">
        <v>2202</v>
      </c>
      <c r="D8" s="98" t="s">
        <v>2203</v>
      </c>
      <c r="E8" s="88"/>
      <c r="F8" s="88"/>
      <c r="G8" s="88"/>
      <c r="H8" s="92" t="n">
        <v>8.6</v>
      </c>
      <c r="I8" s="88"/>
      <c r="J8" s="88"/>
      <c r="K8" s="98" t="s">
        <v>2204</v>
      </c>
      <c r="L8" s="88"/>
      <c r="M8" s="88"/>
      <c r="N8" s="88"/>
      <c r="O8" s="88" t="n">
        <v>1.18</v>
      </c>
      <c r="P8" s="88"/>
      <c r="Q8" s="88"/>
      <c r="R8" s="88" t="n">
        <v>1.2</v>
      </c>
      <c r="S8" s="88"/>
      <c r="T8" s="88"/>
      <c r="U8" s="88"/>
      <c r="V8" s="88"/>
      <c r="W8" s="88" t="n">
        <v>6294</v>
      </c>
      <c r="X8" s="98" t="s">
        <v>2205</v>
      </c>
      <c r="Y8" s="88" t="n">
        <v>690</v>
      </c>
      <c r="Z8" s="93"/>
      <c r="AA8" s="94"/>
      <c r="AB8" s="95"/>
      <c r="AC8" s="96"/>
    </row>
    <row r="9" ht="54.75" customHeight="1">
      <c r="A9" s="84"/>
      <c r="B9" s="100" t="n">
        <v>45307</v>
      </c>
      <c r="C9" s="86" t="s">
        <v>2206</v>
      </c>
      <c r="D9" s="98" t="s">
        <v>2207</v>
      </c>
      <c r="E9" s="101"/>
      <c r="F9" s="101"/>
      <c r="G9" s="101"/>
      <c r="H9" s="98" t="n">
        <v>17</v>
      </c>
      <c r="I9" s="101"/>
      <c r="J9" s="101"/>
      <c r="K9" s="98" t="s">
        <v>2208</v>
      </c>
      <c r="L9" s="101"/>
      <c r="M9" s="101"/>
      <c r="N9" s="101"/>
      <c r="O9" s="98" t="s">
        <v>2209</v>
      </c>
      <c r="P9" s="88"/>
      <c r="Q9" s="88"/>
      <c r="R9" s="88" t="n">
        <v>21000</v>
      </c>
      <c r="S9" s="88"/>
      <c r="T9" s="88"/>
      <c r="U9" s="88"/>
      <c r="V9" s="88"/>
      <c r="W9" s="88" t="n">
        <v>13460</v>
      </c>
      <c r="X9" s="88" t="n">
        <v>79475</v>
      </c>
      <c r="Y9" s="88" t="n">
        <v>28939</v>
      </c>
      <c r="Z9" s="93"/>
      <c r="AA9" s="94"/>
      <c r="AB9" s="95"/>
      <c r="AC9" s="96"/>
    </row>
    <row r="10" ht="32.25" customHeight="1">
      <c r="A10" s="78"/>
      <c r="B10" s="102" t="s">
        <v>2210</v>
      </c>
      <c r="C10" s="103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80"/>
      <c r="AA10" s="81"/>
      <c r="AB10" s="82"/>
      <c r="AC10" s="83"/>
    </row>
    <row r="11" ht="25.5" customHeight="1">
      <c r="A11" s="84"/>
      <c r="B11" s="97" t="n">
        <v>45655</v>
      </c>
      <c r="C11" s="86" t="s">
        <v>2211</v>
      </c>
      <c r="D11" s="98" t="s">
        <v>2212</v>
      </c>
      <c r="E11" s="92"/>
      <c r="F11" s="92"/>
      <c r="G11" s="92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93"/>
      <c r="AA11" s="94"/>
      <c r="AB11" s="95"/>
      <c r="AC11" s="96"/>
    </row>
    <row r="12" ht="33.75" customHeight="1">
      <c r="A12" s="84"/>
      <c r="B12" s="97" t="n">
        <v>45264</v>
      </c>
      <c r="C12" s="86" t="s">
        <v>2213</v>
      </c>
      <c r="D12" s="98" t="s">
        <v>2214</v>
      </c>
      <c r="E12" s="92"/>
      <c r="F12" s="92"/>
      <c r="G12" s="92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93"/>
      <c r="AA12" s="94"/>
      <c r="AB12" s="95"/>
      <c r="AC12" s="96"/>
    </row>
    <row r="13" ht="36.75" customHeight="1">
      <c r="A13" s="84"/>
      <c r="B13" s="97" t="n">
        <v>45252</v>
      </c>
      <c r="C13" s="86" t="s">
        <v>2215</v>
      </c>
      <c r="D13" s="98" t="s">
        <v>2216</v>
      </c>
      <c r="E13" s="92"/>
      <c r="F13" s="92"/>
      <c r="G13" s="92"/>
      <c r="H13" s="88"/>
      <c r="I13" s="88"/>
      <c r="J13" s="88"/>
      <c r="K13" s="92" t="s">
        <v>2217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93"/>
      <c r="AA13" s="94"/>
      <c r="AB13" s="95"/>
      <c r="AC13" s="96"/>
    </row>
    <row r="14" ht="25.5" customHeight="1">
      <c r="A14" s="84"/>
      <c r="B14" s="97" t="n">
        <v>45245</v>
      </c>
      <c r="C14" s="104" t="s">
        <v>2218</v>
      </c>
      <c r="D14" s="92" t="s">
        <v>2219</v>
      </c>
      <c r="E14" s="92"/>
      <c r="F14" s="92"/>
      <c r="G14" s="92"/>
      <c r="H14" s="92" t="s">
        <v>2220</v>
      </c>
      <c r="I14" s="88"/>
      <c r="J14" s="88"/>
      <c r="K14" s="92" t="s">
        <v>2221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98" t="s">
        <v>2222</v>
      </c>
      <c r="Z14" s="93"/>
      <c r="AA14" s="94"/>
      <c r="AB14" s="95"/>
      <c r="AC14" s="96"/>
    </row>
    <row r="15" ht="60" customHeight="1">
      <c r="A15" s="84"/>
      <c r="B15" s="97" t="n">
        <v>45223</v>
      </c>
      <c r="C15" s="104" t="s">
        <v>2223</v>
      </c>
      <c r="D15" s="92"/>
      <c r="E15" s="92"/>
      <c r="F15" s="92"/>
      <c r="G15" s="92"/>
      <c r="H15" s="92" t="s">
        <v>2224</v>
      </c>
      <c r="I15" s="92"/>
      <c r="J15" s="92"/>
      <c r="K15" s="99" t="s">
        <v>2225</v>
      </c>
      <c r="L15" s="92"/>
      <c r="M15" s="92"/>
      <c r="N15" s="92"/>
      <c r="O15" s="92"/>
      <c r="P15" s="92"/>
      <c r="Q15" s="99"/>
      <c r="R15" s="92"/>
      <c r="S15" s="92"/>
      <c r="T15" s="92"/>
      <c r="U15" s="92"/>
      <c r="V15" s="92"/>
      <c r="W15" s="99"/>
      <c r="X15" s="99"/>
      <c r="Y15" s="105" t="s">
        <v>2226</v>
      </c>
      <c r="Z15" s="93"/>
      <c r="AA15" s="94"/>
      <c r="AB15" s="95"/>
      <c r="AC15" s="96"/>
    </row>
    <row r="16" ht="42.75" customHeight="1">
      <c r="A16" s="84"/>
      <c r="B16" s="100" t="n">
        <v>45036</v>
      </c>
      <c r="C16" s="104" t="s">
        <v>2227</v>
      </c>
      <c r="D16" s="92" t="n">
        <v>38079</v>
      </c>
      <c r="E16" s="92" t="n">
        <v>123</v>
      </c>
      <c r="F16" s="92" t="n">
        <v>53</v>
      </c>
      <c r="G16" s="92" t="n">
        <v>257</v>
      </c>
      <c r="H16" s="92" t="n">
        <v>10</v>
      </c>
      <c r="I16" s="92" t="n">
        <v>77</v>
      </c>
      <c r="J16" s="92" t="n">
        <v>16</v>
      </c>
      <c r="K16" s="105" t="s">
        <v>2228</v>
      </c>
      <c r="L16" s="99" t="n">
        <v>15000</v>
      </c>
      <c r="M16" s="92" t="n">
        <v>679</v>
      </c>
      <c r="N16" s="106"/>
      <c r="O16" s="107" t="n">
        <v>43881</v>
      </c>
      <c r="P16" s="92" t="n">
        <v>17000</v>
      </c>
      <c r="Q16" s="92" t="n">
        <v>781</v>
      </c>
      <c r="R16" s="98" t="s">
        <v>2229</v>
      </c>
      <c r="S16" s="92" t="n">
        <v>259</v>
      </c>
      <c r="T16" s="92" t="n">
        <v>20</v>
      </c>
      <c r="U16" s="92" t="n">
        <v>6</v>
      </c>
      <c r="V16" s="92"/>
      <c r="W16" s="99" t="n">
        <v>47872</v>
      </c>
      <c r="X16" s="99" t="n">
        <v>38562</v>
      </c>
      <c r="Y16" s="99" t="s">
        <v>2230</v>
      </c>
      <c r="Z16" s="93"/>
      <c r="AA16" s="94" t="n">
        <v>1145</v>
      </c>
      <c r="AB16" s="95"/>
      <c r="AC16" s="96"/>
    </row>
    <row r="17" ht="25.5" customHeight="1">
      <c r="A17" s="84"/>
      <c r="B17" s="108" t="n">
        <v>45020</v>
      </c>
      <c r="C17" s="109" t="s">
        <v>2231</v>
      </c>
      <c r="D17" s="92" t="n">
        <v>83966</v>
      </c>
      <c r="E17" s="92" t="n">
        <v>538</v>
      </c>
      <c r="F17" s="92" t="n">
        <v>61</v>
      </c>
      <c r="G17" s="92" t="n">
        <v>987</v>
      </c>
      <c r="H17" s="92" t="n">
        <v>24000</v>
      </c>
      <c r="I17" s="92" t="n">
        <v>389</v>
      </c>
      <c r="J17" s="92" t="n">
        <v>26</v>
      </c>
      <c r="K17" s="98" t="s">
        <v>2232</v>
      </c>
      <c r="L17" s="99" t="n">
        <v>2255</v>
      </c>
      <c r="M17" s="92" t="n">
        <v>64</v>
      </c>
      <c r="N17" s="106"/>
      <c r="O17" s="107" t="n">
        <v>50202</v>
      </c>
      <c r="P17" s="92" t="n">
        <v>30000</v>
      </c>
      <c r="Q17" s="99" t="n">
        <v>4950</v>
      </c>
      <c r="R17" s="92" t="n">
        <v>15000</v>
      </c>
      <c r="S17" s="92" t="n">
        <v>119</v>
      </c>
      <c r="T17" s="92" t="n">
        <v>56</v>
      </c>
      <c r="U17" s="92" t="n">
        <v>26</v>
      </c>
      <c r="V17" s="92"/>
      <c r="W17" s="99" t="n">
        <v>9104</v>
      </c>
      <c r="X17" s="92" t="n">
        <v>71584</v>
      </c>
      <c r="Y17" s="99" t="n">
        <v>54567</v>
      </c>
      <c r="Z17" s="93"/>
      <c r="AA17" s="94" t="n">
        <v>2361</v>
      </c>
      <c r="AB17" s="95"/>
      <c r="AC17" s="96"/>
    </row>
    <row r="18" ht="25.5" customHeight="1">
      <c r="A18" s="84"/>
      <c r="B18" s="110" t="n">
        <v>45014</v>
      </c>
      <c r="C18" s="111" t="s">
        <v>2233</v>
      </c>
      <c r="D18" s="92" t="n">
        <v>66000</v>
      </c>
      <c r="E18" s="92" t="n">
        <v>722</v>
      </c>
      <c r="F18" s="92" t="n">
        <v>78</v>
      </c>
      <c r="G18" s="92" t="n">
        <v>1611</v>
      </c>
      <c r="H18" s="92" t="n">
        <v>10.6</v>
      </c>
      <c r="I18" s="92" t="n">
        <v>777</v>
      </c>
      <c r="J18" s="92" t="n">
        <v>43</v>
      </c>
      <c r="K18" s="112" t="s">
        <v>2234</v>
      </c>
      <c r="L18" s="92" t="n">
        <v>1978</v>
      </c>
      <c r="M18" s="92" t="n">
        <v>32</v>
      </c>
      <c r="N18" s="106"/>
      <c r="O18" s="113" t="n">
        <v>444155</v>
      </c>
      <c r="P18" s="92" t="n">
        <v>25000</v>
      </c>
      <c r="Q18" s="99" t="n">
        <v>2621</v>
      </c>
      <c r="R18" s="98" t="n">
        <v>287000</v>
      </c>
      <c r="S18" s="92" t="n">
        <v>2720</v>
      </c>
      <c r="T18" s="92" t="n">
        <v>381</v>
      </c>
      <c r="U18" s="92" t="n">
        <v>533</v>
      </c>
      <c r="V18" s="92"/>
      <c r="W18" s="105" t="n">
        <v>145961</v>
      </c>
      <c r="X18" s="105" t="n">
        <v>200538</v>
      </c>
      <c r="Y18" s="99" t="n">
        <v>76580</v>
      </c>
      <c r="Z18" s="93"/>
      <c r="AA18" s="94" t="n">
        <v>1252</v>
      </c>
      <c r="AB18" s="95"/>
      <c r="AC18" s="96"/>
    </row>
    <row r="19" ht="25.5" customHeight="1">
      <c r="A19" s="84"/>
      <c r="B19" s="108" t="n">
        <v>45002</v>
      </c>
      <c r="C19" s="111" t="s">
        <v>2235</v>
      </c>
      <c r="D19" s="98" t="n">
        <v>103276</v>
      </c>
      <c r="E19" s="92" t="n">
        <v>755</v>
      </c>
      <c r="F19" s="92" t="n">
        <v>79</v>
      </c>
      <c r="G19" s="92" t="n">
        <v>1844</v>
      </c>
      <c r="H19" s="92" t="n">
        <v>9.3</v>
      </c>
      <c r="I19" s="92" t="n">
        <v>756</v>
      </c>
      <c r="J19" s="92" t="n">
        <v>29</v>
      </c>
      <c r="K19" s="112" t="n">
        <v>41568</v>
      </c>
      <c r="L19" s="92" t="n">
        <v>876</v>
      </c>
      <c r="M19" s="92" t="n">
        <v>37</v>
      </c>
      <c r="N19" s="106"/>
      <c r="O19" s="113" t="n">
        <v>184210</v>
      </c>
      <c r="P19" s="92" t="n">
        <v>31000</v>
      </c>
      <c r="Q19" s="99" t="n">
        <v>7430</v>
      </c>
      <c r="R19" s="92" t="n">
        <v>7543</v>
      </c>
      <c r="S19" s="88" t="s">
        <v>2236</v>
      </c>
      <c r="T19" s="88" t="s">
        <v>2237</v>
      </c>
      <c r="U19" s="88" t="s">
        <v>2238</v>
      </c>
      <c r="V19" s="92"/>
      <c r="W19" s="99" t="n">
        <v>10914</v>
      </c>
      <c r="X19" s="99" t="n">
        <v>21741</v>
      </c>
      <c r="Y19" s="99" t="n">
        <v>62232</v>
      </c>
      <c r="Z19" s="93"/>
      <c r="AA19" s="94" t="n">
        <v>2044</v>
      </c>
      <c r="AB19" s="95"/>
      <c r="AC19" s="96"/>
    </row>
    <row r="20" ht="25.5" customHeight="1">
      <c r="A20" s="84"/>
      <c r="B20" s="110" t="n">
        <v>44995</v>
      </c>
      <c r="C20" s="111" t="s">
        <v>2239</v>
      </c>
      <c r="D20" s="98" t="s">
        <v>2240</v>
      </c>
      <c r="E20" s="92" t="n">
        <v>9240</v>
      </c>
      <c r="F20" s="92" t="n">
        <v>315</v>
      </c>
      <c r="G20" s="92" t="n">
        <v>27347</v>
      </c>
      <c r="H20" s="98" t="n">
        <v>99.1</v>
      </c>
      <c r="I20" s="92" t="n">
        <v>9266</v>
      </c>
      <c r="J20" s="92" t="n">
        <v>145</v>
      </c>
      <c r="K20" s="114" t="s">
        <v>2241</v>
      </c>
      <c r="L20" s="99" t="n">
        <v>2221</v>
      </c>
      <c r="M20" s="92" t="n">
        <v>60</v>
      </c>
      <c r="N20" s="106"/>
      <c r="O20" s="113" t="s">
        <v>2242</v>
      </c>
      <c r="P20" s="92" t="s">
        <v>2243</v>
      </c>
      <c r="Q20" s="99" t="n">
        <v>15000</v>
      </c>
      <c r="R20" s="98" t="s">
        <v>2244</v>
      </c>
      <c r="S20" s="92" t="n">
        <v>2168</v>
      </c>
      <c r="T20" s="92" t="n">
        <v>247</v>
      </c>
      <c r="U20" s="92" t="n">
        <v>543</v>
      </c>
      <c r="V20" s="92"/>
      <c r="W20" s="105" t="s">
        <v>2245</v>
      </c>
      <c r="X20" s="105" t="s">
        <v>2246</v>
      </c>
      <c r="Y20" s="105" t="s">
        <v>2247</v>
      </c>
      <c r="Z20" s="93"/>
      <c r="AA20" s="94" t="n">
        <v>1964</v>
      </c>
      <c r="AB20" s="95"/>
      <c r="AC20" s="96"/>
    </row>
    <row r="21" ht="25.5" customHeight="1">
      <c r="A21" s="84"/>
      <c r="B21" s="110" t="n">
        <v>44994</v>
      </c>
      <c r="C21" s="111" t="s">
        <v>2248</v>
      </c>
      <c r="D21" s="98" t="s">
        <v>2249</v>
      </c>
      <c r="E21" s="88" t="n">
        <v>461</v>
      </c>
      <c r="F21" s="88" t="n">
        <v>61</v>
      </c>
      <c r="G21" s="88" t="n">
        <v>1847</v>
      </c>
      <c r="H21" s="98" t="n">
        <v>61.1</v>
      </c>
      <c r="I21" s="92" t="n">
        <v>1300</v>
      </c>
      <c r="J21" s="92" t="n">
        <v>240</v>
      </c>
      <c r="K21" s="115" t="s">
        <v>2250</v>
      </c>
      <c r="L21" s="92" t="n">
        <v>283</v>
      </c>
      <c r="M21" s="92" t="n">
        <v>7</v>
      </c>
      <c r="N21" s="106"/>
      <c r="O21" s="113" t="n">
        <v>134675</v>
      </c>
      <c r="P21" s="92" t="n">
        <v>21000</v>
      </c>
      <c r="Q21" s="99" t="n">
        <v>3490</v>
      </c>
      <c r="R21" s="92" t="n">
        <v>1525</v>
      </c>
      <c r="S21" s="92" t="n">
        <v>32</v>
      </c>
      <c r="T21" s="92" t="n">
        <v>11</v>
      </c>
      <c r="U21" s="92" t="n">
        <v>10</v>
      </c>
      <c r="V21" s="92"/>
      <c r="W21" s="105" t="n">
        <v>67946</v>
      </c>
      <c r="X21" s="99" t="n">
        <v>3166</v>
      </c>
      <c r="Y21" s="105" t="s">
        <v>2251</v>
      </c>
      <c r="Z21" s="93"/>
      <c r="AA21" s="94" t="n">
        <v>1152</v>
      </c>
      <c r="AB21" s="95"/>
      <c r="AC21" s="96"/>
    </row>
    <row r="22" ht="25.5" customHeight="1">
      <c r="A22" s="84"/>
      <c r="B22" s="110" t="n">
        <v>44993</v>
      </c>
      <c r="C22" s="111" t="s">
        <v>2252</v>
      </c>
      <c r="D22" s="98" t="n">
        <v>18.8</v>
      </c>
      <c r="E22" s="88" t="n">
        <v>1389</v>
      </c>
      <c r="F22" s="88" t="n">
        <v>67</v>
      </c>
      <c r="G22" s="88" t="n">
        <v>3072</v>
      </c>
      <c r="H22" s="98" t="n">
        <v>51.5</v>
      </c>
      <c r="I22" s="92" t="n">
        <v>2489</v>
      </c>
      <c r="J22" s="92" t="n">
        <v>128</v>
      </c>
      <c r="K22" s="115" t="s">
        <v>2253</v>
      </c>
      <c r="L22" s="92" t="n">
        <v>943</v>
      </c>
      <c r="M22" s="92" t="n">
        <v>13</v>
      </c>
      <c r="N22" s="106"/>
      <c r="O22" s="113" t="n">
        <v>229867</v>
      </c>
      <c r="P22" s="92" t="n">
        <v>34000</v>
      </c>
      <c r="Q22" s="99" t="n">
        <v>8754</v>
      </c>
      <c r="R22" s="92" t="n">
        <v>21000</v>
      </c>
      <c r="S22" s="92" t="n">
        <v>328</v>
      </c>
      <c r="T22" s="92" t="n">
        <v>29</v>
      </c>
      <c r="U22" s="92" t="n">
        <v>76</v>
      </c>
      <c r="V22" s="92"/>
      <c r="W22" s="105" t="n">
        <v>46331</v>
      </c>
      <c r="X22" s="105" t="n">
        <v>41940</v>
      </c>
      <c r="Y22" s="105" t="s">
        <v>2254</v>
      </c>
      <c r="Z22" s="93"/>
      <c r="AA22" s="94" t="n">
        <v>3210</v>
      </c>
      <c r="AB22" s="95"/>
      <c r="AC22" s="96"/>
    </row>
    <row r="23" ht="25.5" customHeight="1">
      <c r="A23" s="84"/>
      <c r="B23" s="110" t="n">
        <v>44992</v>
      </c>
      <c r="C23" s="111" t="s">
        <v>2255</v>
      </c>
      <c r="D23" s="88" t="n">
        <v>43911</v>
      </c>
      <c r="E23" s="88" t="n">
        <v>197</v>
      </c>
      <c r="F23" s="88" t="n">
        <v>39</v>
      </c>
      <c r="G23" s="88" t="n">
        <v>463</v>
      </c>
      <c r="H23" s="92" t="s">
        <v>2256</v>
      </c>
      <c r="I23" s="88" t="s">
        <v>2257</v>
      </c>
      <c r="J23" s="88" t="s">
        <v>2258</v>
      </c>
      <c r="K23" s="105" t="s">
        <v>2259</v>
      </c>
      <c r="L23" s="92" t="n">
        <v>261</v>
      </c>
      <c r="M23" s="92" t="n">
        <v>274</v>
      </c>
      <c r="N23" s="106"/>
      <c r="O23" s="107" t="s">
        <v>2260</v>
      </c>
      <c r="P23" s="92" t="n">
        <v>23000</v>
      </c>
      <c r="Q23" s="99" t="n">
        <v>6792</v>
      </c>
      <c r="R23" s="88" t="s">
        <v>2261</v>
      </c>
      <c r="S23" s="88" t="s">
        <v>2262</v>
      </c>
      <c r="T23" s="88" t="s">
        <v>2263</v>
      </c>
      <c r="U23" s="88" t="s">
        <v>2264</v>
      </c>
      <c r="V23" s="92"/>
      <c r="W23" s="99" t="n">
        <v>10475</v>
      </c>
      <c r="X23" s="99" t="n">
        <v>1420</v>
      </c>
      <c r="Y23" s="105" t="s">
        <v>2265</v>
      </c>
      <c r="Z23" s="93"/>
      <c r="AA23" s="94" t="n">
        <v>1441</v>
      </c>
      <c r="AB23" s="95"/>
      <c r="AC23" s="96"/>
    </row>
    <row r="24" ht="25.5" customHeight="1">
      <c r="A24" s="84"/>
      <c r="B24" s="108" t="n">
        <v>44989</v>
      </c>
      <c r="C24" s="109" t="s">
        <v>2266</v>
      </c>
      <c r="D24" s="88" t="n">
        <v>79978</v>
      </c>
      <c r="E24" s="88" t="n">
        <v>832</v>
      </c>
      <c r="F24" s="88" t="n">
        <v>69</v>
      </c>
      <c r="G24" s="88" t="n">
        <v>2011</v>
      </c>
      <c r="H24" s="92" t="n">
        <v>23000</v>
      </c>
      <c r="I24" s="92" t="n">
        <v>218</v>
      </c>
      <c r="J24" s="92" t="n">
        <v>43</v>
      </c>
      <c r="K24" s="116" t="n">
        <v>12000</v>
      </c>
      <c r="L24" s="92" t="n">
        <v>207</v>
      </c>
      <c r="M24" s="92" t="n">
        <v>3</v>
      </c>
      <c r="N24" s="106"/>
      <c r="O24" s="107" t="n">
        <v>30527</v>
      </c>
      <c r="P24" s="88" t="n">
        <v>23000</v>
      </c>
      <c r="Q24" s="99" t="n">
        <v>3123</v>
      </c>
      <c r="R24" s="88" t="s">
        <v>2267</v>
      </c>
      <c r="S24" s="88" t="s">
        <v>2268</v>
      </c>
      <c r="T24" s="88" t="s">
        <v>2269</v>
      </c>
      <c r="U24" s="88" t="s">
        <v>2270</v>
      </c>
      <c r="V24" s="92"/>
      <c r="W24" s="99" t="n">
        <v>3251</v>
      </c>
      <c r="X24" s="99" t="n">
        <v>2072</v>
      </c>
      <c r="Y24" s="99" t="s">
        <v>2271</v>
      </c>
      <c r="Z24" s="93"/>
      <c r="AA24" s="94" t="n">
        <v>1290</v>
      </c>
      <c r="AB24" s="95"/>
      <c r="AC24" s="96"/>
    </row>
    <row r="25" ht="25.5" customHeight="1">
      <c r="A25" s="84"/>
      <c r="B25" s="108" t="n">
        <v>44987</v>
      </c>
      <c r="C25" s="109" t="s">
        <v>2272</v>
      </c>
      <c r="D25" s="92" t="n">
        <v>50360</v>
      </c>
      <c r="E25" s="92" t="n">
        <v>293</v>
      </c>
      <c r="F25" s="92" t="n">
        <v>22</v>
      </c>
      <c r="G25" s="92" t="n">
        <v>712</v>
      </c>
      <c r="H25" s="92" t="n">
        <v>12000</v>
      </c>
      <c r="I25" s="92" t="n">
        <v>193</v>
      </c>
      <c r="J25" s="92" t="n">
        <v>9</v>
      </c>
      <c r="K25" s="117" t="n">
        <v>8267</v>
      </c>
      <c r="L25" s="92" t="n">
        <v>209</v>
      </c>
      <c r="M25" s="92" t="n">
        <v>5</v>
      </c>
      <c r="N25" s="106" t="s">
        <v>2273</v>
      </c>
      <c r="O25" s="107" t="n">
        <v>20825</v>
      </c>
      <c r="P25" s="92" t="n">
        <v>26000</v>
      </c>
      <c r="Q25" s="99" t="n">
        <v>4245</v>
      </c>
      <c r="R25" s="88" t="s">
        <v>2274</v>
      </c>
      <c r="S25" s="88" t="s">
        <v>2275</v>
      </c>
      <c r="T25" s="88" t="s">
        <v>2276</v>
      </c>
      <c r="U25" s="88" t="s">
        <v>2277</v>
      </c>
      <c r="V25" s="92"/>
      <c r="W25" s="99" t="n">
        <v>8595</v>
      </c>
      <c r="X25" s="99" t="n">
        <v>1946</v>
      </c>
      <c r="Y25" s="105" t="n">
        <v>42233</v>
      </c>
      <c r="Z25" s="93"/>
      <c r="AA25" s="94" t="n">
        <v>1982</v>
      </c>
      <c r="AB25" s="95"/>
      <c r="AC25" s="96"/>
    </row>
    <row r="26" ht="25.5" customHeight="1">
      <c r="A26" s="84"/>
      <c r="B26" s="108" t="n">
        <v>44985</v>
      </c>
      <c r="C26" s="118" t="s">
        <v>2278</v>
      </c>
      <c r="D26" s="92" t="n">
        <v>45825</v>
      </c>
      <c r="E26" s="92" t="n">
        <v>234</v>
      </c>
      <c r="F26" s="92" t="n">
        <v>64</v>
      </c>
      <c r="G26" s="92" t="n">
        <v>981</v>
      </c>
      <c r="H26" s="92" t="n">
        <v>12.1</v>
      </c>
      <c r="I26" s="92" t="n">
        <v>315</v>
      </c>
      <c r="J26" s="92" t="n">
        <v>54</v>
      </c>
      <c r="K26" s="115" t="s">
        <v>2279</v>
      </c>
      <c r="L26" s="92" t="n">
        <v>817</v>
      </c>
      <c r="M26" s="92" t="n">
        <v>156</v>
      </c>
      <c r="N26" s="106" t="s">
        <v>2280</v>
      </c>
      <c r="O26" s="107" t="n">
        <v>7215</v>
      </c>
      <c r="P26" s="92" t="n">
        <v>47000</v>
      </c>
      <c r="Q26" s="99" t="n">
        <v>6494</v>
      </c>
      <c r="R26" s="88" t="s">
        <v>2281</v>
      </c>
      <c r="S26" s="88" t="s">
        <v>2282</v>
      </c>
      <c r="T26" s="88" t="s">
        <v>2283</v>
      </c>
      <c r="U26" s="88" t="s">
        <v>2284</v>
      </c>
      <c r="V26" s="92"/>
      <c r="W26" s="99" t="n">
        <v>4320</v>
      </c>
      <c r="X26" s="99" t="n">
        <v>2950</v>
      </c>
      <c r="Y26" s="99" t="n">
        <v>13235</v>
      </c>
      <c r="Z26" s="93"/>
      <c r="AA26" s="94" t="n">
        <v>1457</v>
      </c>
      <c r="AB26" s="95"/>
      <c r="AC26" s="96"/>
    </row>
    <row r="27" ht="25.5" customHeight="1">
      <c r="A27" s="84"/>
      <c r="B27" s="108" t="n">
        <v>44984</v>
      </c>
      <c r="C27" s="119" t="s">
        <v>2285</v>
      </c>
      <c r="D27" s="92" t="n">
        <v>57122</v>
      </c>
      <c r="E27" s="92" t="n">
        <v>274</v>
      </c>
      <c r="F27" s="92" t="n">
        <v>65</v>
      </c>
      <c r="G27" s="92" t="n">
        <v>1067</v>
      </c>
      <c r="H27" s="92" t="n">
        <v>22.2</v>
      </c>
      <c r="I27" s="92" t="n">
        <v>219</v>
      </c>
      <c r="J27" s="92" t="n">
        <v>17</v>
      </c>
      <c r="K27" s="115" t="s">
        <v>2286</v>
      </c>
      <c r="L27" s="92" t="n">
        <v>905</v>
      </c>
      <c r="M27" s="92" t="n">
        <v>57</v>
      </c>
      <c r="N27" s="106" t="s">
        <v>2287</v>
      </c>
      <c r="O27" s="113" t="n">
        <v>115080</v>
      </c>
      <c r="P27" s="92" t="n">
        <v>125000</v>
      </c>
      <c r="Q27" s="92" t="n">
        <v>13000</v>
      </c>
      <c r="R27" s="98" t="n">
        <v>246000</v>
      </c>
      <c r="S27" s="92" t="n">
        <v>184</v>
      </c>
      <c r="T27" s="92" t="n">
        <v>102</v>
      </c>
      <c r="U27" s="92" t="n">
        <v>42</v>
      </c>
      <c r="V27" s="92"/>
      <c r="W27" s="105" t="n">
        <v>48803</v>
      </c>
      <c r="X27" s="99" t="n">
        <v>4682</v>
      </c>
      <c r="Y27" s="99" t="n">
        <v>30888</v>
      </c>
      <c r="Z27" s="93"/>
      <c r="AA27" s="94" t="n">
        <v>2387</v>
      </c>
      <c r="AB27" s="95"/>
      <c r="AC27" s="96"/>
    </row>
    <row r="28" ht="25.5" customHeight="1">
      <c r="A28" s="84"/>
      <c r="B28" s="120" t="n">
        <v>44965</v>
      </c>
      <c r="C28" s="121" t="s">
        <v>2288</v>
      </c>
      <c r="D28" s="92" t="n">
        <v>39000</v>
      </c>
      <c r="E28" s="92" t="n">
        <v>248</v>
      </c>
      <c r="F28" s="92" t="n">
        <v>22</v>
      </c>
      <c r="G28" s="92" t="n">
        <v>607</v>
      </c>
      <c r="H28" s="92" t="n">
        <v>18000</v>
      </c>
      <c r="I28" s="92" t="n">
        <v>325</v>
      </c>
      <c r="J28" s="92" t="n">
        <v>9</v>
      </c>
      <c r="K28" s="115" t="n">
        <v>19000</v>
      </c>
      <c r="L28" s="92" t="n">
        <v>507</v>
      </c>
      <c r="M28" s="92" t="n">
        <v>12</v>
      </c>
      <c r="N28" s="122" t="s">
        <v>2289</v>
      </c>
      <c r="O28" s="107" t="n">
        <v>5712</v>
      </c>
      <c r="P28" s="92" t="n">
        <v>13000</v>
      </c>
      <c r="Q28" s="92" t="n">
        <v>3481</v>
      </c>
      <c r="R28" s="92" t="n">
        <v>7523</v>
      </c>
      <c r="S28" s="92" t="n">
        <v>125</v>
      </c>
      <c r="T28" s="92" t="n">
        <v>36</v>
      </c>
      <c r="U28" s="92" t="n">
        <v>39</v>
      </c>
      <c r="V28" s="92"/>
      <c r="W28" s="99" t="n">
        <v>26106</v>
      </c>
      <c r="X28" s="99" t="n">
        <v>2021</v>
      </c>
      <c r="Y28" s="105" t="s">
        <v>2290</v>
      </c>
      <c r="Z28" s="93"/>
      <c r="AA28" s="94" t="n">
        <v>1618</v>
      </c>
      <c r="AB28" s="95"/>
      <c r="AC28" s="96"/>
    </row>
    <row r="29" ht="25.5" customHeight="1">
      <c r="A29" s="84"/>
      <c r="B29" s="120" t="n">
        <v>44960</v>
      </c>
      <c r="C29" s="123" t="s">
        <v>2291</v>
      </c>
      <c r="D29" s="92" t="n">
        <v>33000</v>
      </c>
      <c r="E29" s="92" t="n">
        <v>167</v>
      </c>
      <c r="F29" s="92" t="n">
        <v>24</v>
      </c>
      <c r="G29" s="92" t="n">
        <v>479</v>
      </c>
      <c r="H29" s="92" t="n">
        <v>11.5</v>
      </c>
      <c r="I29" s="92" t="n">
        <v>267</v>
      </c>
      <c r="J29" s="92" t="n">
        <v>30</v>
      </c>
      <c r="K29" s="115" t="n">
        <v>32000</v>
      </c>
      <c r="L29" s="92" t="n">
        <v>762</v>
      </c>
      <c r="M29" s="92" t="n">
        <v>67</v>
      </c>
      <c r="N29" s="122" t="s">
        <v>2292</v>
      </c>
      <c r="O29" s="107" t="n">
        <v>29243</v>
      </c>
      <c r="P29" s="92" t="n">
        <v>56000</v>
      </c>
      <c r="Q29" s="92" t="n">
        <v>11000</v>
      </c>
      <c r="R29" s="92" t="n">
        <v>4091</v>
      </c>
      <c r="S29" s="92" t="n">
        <v>63</v>
      </c>
      <c r="T29" s="92" t="n">
        <v>83</v>
      </c>
      <c r="U29" s="92" t="n">
        <v>10</v>
      </c>
      <c r="V29" s="92"/>
      <c r="W29" s="99" t="n">
        <v>19029</v>
      </c>
      <c r="X29" s="99" t="n">
        <v>2525</v>
      </c>
      <c r="Y29" s="99" t="n">
        <v>1187</v>
      </c>
      <c r="Z29" s="93"/>
      <c r="AA29" s="94" t="n">
        <v>1825</v>
      </c>
      <c r="AB29" s="95"/>
      <c r="AC29" s="96"/>
    </row>
    <row r="30" ht="25.5" customHeight="1">
      <c r="A30" s="84"/>
      <c r="B30" s="120" t="n">
        <v>44959</v>
      </c>
      <c r="C30" s="124" t="s">
        <v>2293</v>
      </c>
      <c r="D30" s="92" t="n">
        <v>22000</v>
      </c>
      <c r="E30" s="92" t="n">
        <v>113</v>
      </c>
      <c r="F30" s="92" t="n">
        <v>18</v>
      </c>
      <c r="G30" s="92" t="n">
        <v>291</v>
      </c>
      <c r="H30" s="92" t="n">
        <v>37.9</v>
      </c>
      <c r="I30" s="92" t="n">
        <v>570</v>
      </c>
      <c r="J30" s="92" t="n">
        <v>137</v>
      </c>
      <c r="K30" s="115" t="n">
        <v>11000</v>
      </c>
      <c r="L30" s="92" t="n">
        <v>265</v>
      </c>
      <c r="M30" s="92" t="n">
        <v>3</v>
      </c>
      <c r="N30" s="122" t="s">
        <v>2294</v>
      </c>
      <c r="O30" s="107" t="s">
        <v>2295</v>
      </c>
      <c r="P30" s="92" t="n">
        <v>21000</v>
      </c>
      <c r="Q30" s="92" t="n">
        <v>4309</v>
      </c>
      <c r="R30" s="92" t="n">
        <v>4476</v>
      </c>
      <c r="S30" s="92" t="n">
        <v>79</v>
      </c>
      <c r="T30" s="92" t="n">
        <v>28</v>
      </c>
      <c r="U30" s="92" t="n">
        <v>16</v>
      </c>
      <c r="V30" s="92"/>
      <c r="W30" s="99" t="n">
        <v>3656</v>
      </c>
      <c r="X30" s="105" t="n">
        <v>47278</v>
      </c>
      <c r="Y30" s="99" t="s">
        <v>2296</v>
      </c>
      <c r="Z30" s="93"/>
      <c r="AA30" s="94" t="n">
        <v>742</v>
      </c>
      <c r="AB30" s="95"/>
      <c r="AC30" s="96"/>
    </row>
    <row r="31" ht="25.5" customHeight="1">
      <c r="A31" s="84"/>
      <c r="B31" s="120" t="n">
        <v>44958</v>
      </c>
      <c r="C31" s="125" t="s">
        <v>2297</v>
      </c>
      <c r="D31" s="92" t="n">
        <v>29000</v>
      </c>
      <c r="E31" s="92" t="n">
        <v>161</v>
      </c>
      <c r="F31" s="92" t="n">
        <v>21</v>
      </c>
      <c r="G31" s="92" t="n">
        <v>421</v>
      </c>
      <c r="H31" s="92" t="n">
        <v>14.9</v>
      </c>
      <c r="I31" s="92" t="n">
        <v>628</v>
      </c>
      <c r="J31" s="92" t="n">
        <v>27</v>
      </c>
      <c r="K31" s="115" t="n">
        <v>43000</v>
      </c>
      <c r="L31" s="92" t="n">
        <v>998</v>
      </c>
      <c r="M31" s="92" t="n">
        <v>32</v>
      </c>
      <c r="N31" s="122" t="s">
        <v>2298</v>
      </c>
      <c r="O31" s="107" t="n">
        <v>17095</v>
      </c>
      <c r="P31" s="92" t="n">
        <v>94000</v>
      </c>
      <c r="Q31" s="92" t="n">
        <v>10000</v>
      </c>
      <c r="R31" s="92" t="n">
        <v>2840</v>
      </c>
      <c r="S31" s="92" t="n">
        <v>76</v>
      </c>
      <c r="T31" s="92" t="n">
        <v>9</v>
      </c>
      <c r="U31" s="92" t="n">
        <v>12</v>
      </c>
      <c r="V31" s="92"/>
      <c r="W31" s="105" t="n">
        <v>54577</v>
      </c>
      <c r="X31" s="105" t="n">
        <v>69797</v>
      </c>
      <c r="Y31" s="105" t="s">
        <v>2299</v>
      </c>
      <c r="Z31" s="93"/>
      <c r="AA31" s="94" t="n">
        <v>1789</v>
      </c>
      <c r="AB31" s="95"/>
      <c r="AC31" s="96"/>
    </row>
    <row r="32" ht="25.5" customHeight="1">
      <c r="A32" s="84"/>
      <c r="B32" s="120" t="n">
        <v>44957</v>
      </c>
      <c r="C32" s="124" t="s">
        <v>2300</v>
      </c>
      <c r="D32" s="92" t="n">
        <v>14000</v>
      </c>
      <c r="E32" s="92" t="n">
        <v>94</v>
      </c>
      <c r="F32" s="92" t="n">
        <v>6</v>
      </c>
      <c r="G32" s="92" t="n">
        <v>255</v>
      </c>
      <c r="H32" s="92" t="n">
        <v>12.1</v>
      </c>
      <c r="I32" s="92" t="n">
        <v>156</v>
      </c>
      <c r="J32" s="92" t="n">
        <v>5</v>
      </c>
      <c r="K32" s="115" t="n">
        <v>3024</v>
      </c>
      <c r="L32" s="92" t="n">
        <v>59</v>
      </c>
      <c r="M32" s="92" t="n">
        <v>0</v>
      </c>
      <c r="N32" s="122" t="s">
        <v>2301</v>
      </c>
      <c r="O32" s="107" t="n">
        <v>4062</v>
      </c>
      <c r="P32" s="92" t="n">
        <v>26000</v>
      </c>
      <c r="Q32" s="92" t="n">
        <v>4067</v>
      </c>
      <c r="R32" s="92" t="n">
        <v>1842</v>
      </c>
      <c r="S32" s="92" t="n">
        <v>55</v>
      </c>
      <c r="T32" s="92" t="n">
        <v>14</v>
      </c>
      <c r="U32" s="92" t="n">
        <v>33</v>
      </c>
      <c r="V32" s="92"/>
      <c r="W32" s="99" t="n">
        <v>1005</v>
      </c>
      <c r="X32" s="99" t="n">
        <v>777</v>
      </c>
      <c r="Y32" s="99" t="n">
        <v>3331</v>
      </c>
      <c r="Z32" s="93"/>
      <c r="AA32" s="94" t="n">
        <v>2179</v>
      </c>
      <c r="AB32" s="95"/>
      <c r="AC32" s="96"/>
    </row>
    <row r="33" ht="25.5" customHeight="1">
      <c r="A33" s="84"/>
      <c r="B33" s="120" t="n">
        <v>44955</v>
      </c>
      <c r="C33" s="125" t="s">
        <v>2302</v>
      </c>
      <c r="D33" s="92" t="n">
        <v>65000</v>
      </c>
      <c r="E33" s="92" t="n">
        <v>407</v>
      </c>
      <c r="F33" s="92" t="n">
        <v>59</v>
      </c>
      <c r="G33" s="92" t="n">
        <v>1360</v>
      </c>
      <c r="H33" s="92" t="n">
        <v>32.1</v>
      </c>
      <c r="I33" s="92" t="n">
        <v>1548</v>
      </c>
      <c r="J33" s="92" t="n">
        <v>98</v>
      </c>
      <c r="K33" s="115" t="n">
        <v>52000</v>
      </c>
      <c r="L33" s="92" t="n">
        <v>1164</v>
      </c>
      <c r="M33" s="92" t="n">
        <v>46</v>
      </c>
      <c r="N33" s="122" t="s">
        <v>2303</v>
      </c>
      <c r="O33" s="107" t="n">
        <v>44052</v>
      </c>
      <c r="P33" s="92" t="n">
        <v>43000</v>
      </c>
      <c r="Q33" s="92" t="n">
        <v>16000</v>
      </c>
      <c r="R33" s="92" t="n">
        <v>6041</v>
      </c>
      <c r="S33" s="92" t="n">
        <v>127</v>
      </c>
      <c r="T33" s="92" t="n">
        <v>27</v>
      </c>
      <c r="U33" s="92" t="n">
        <v>23</v>
      </c>
      <c r="V33" s="92"/>
      <c r="W33" s="99" t="n">
        <v>8955</v>
      </c>
      <c r="X33" s="105" t="n">
        <v>68746</v>
      </c>
      <c r="Y33" s="105" t="s">
        <v>2304</v>
      </c>
      <c r="Z33" s="93"/>
      <c r="AA33" s="94" t="n">
        <v>1333</v>
      </c>
      <c r="AB33" s="95"/>
      <c r="AC33" s="96"/>
    </row>
    <row r="34" ht="25.5" customHeight="1">
      <c r="A34" s="84"/>
      <c r="B34" s="120" t="n">
        <v>44954</v>
      </c>
      <c r="C34" s="124" t="s">
        <v>2305</v>
      </c>
      <c r="D34" s="92" t="n">
        <v>40000</v>
      </c>
      <c r="E34" s="92" t="n">
        <v>252</v>
      </c>
      <c r="F34" s="92" t="n">
        <v>22</v>
      </c>
      <c r="G34" s="92" t="n">
        <v>33</v>
      </c>
      <c r="H34" s="92" t="n">
        <v>15.1</v>
      </c>
      <c r="I34" s="92" t="n">
        <v>341</v>
      </c>
      <c r="J34" s="92" t="n">
        <v>26</v>
      </c>
      <c r="K34" s="115" t="n">
        <v>16000</v>
      </c>
      <c r="L34" s="92" t="n">
        <v>397</v>
      </c>
      <c r="M34" s="92" t="n">
        <v>7</v>
      </c>
      <c r="N34" s="122" t="s">
        <v>2306</v>
      </c>
      <c r="O34" s="107" t="n">
        <v>14132</v>
      </c>
      <c r="P34" s="92" t="n">
        <v>33000</v>
      </c>
      <c r="Q34" s="92" t="n">
        <v>5596</v>
      </c>
      <c r="R34" s="92" t="n">
        <v>2779</v>
      </c>
      <c r="S34" s="92" t="n">
        <v>72</v>
      </c>
      <c r="T34" s="92" t="n">
        <v>23</v>
      </c>
      <c r="U34" s="92" t="n">
        <v>15</v>
      </c>
      <c r="V34" s="92"/>
      <c r="W34" s="105" t="n">
        <v>49817</v>
      </c>
      <c r="X34" s="99" t="n">
        <v>11724</v>
      </c>
      <c r="Y34" s="99" t="n">
        <v>15063</v>
      </c>
      <c r="Z34" s="93"/>
      <c r="AA34" s="94" t="n">
        <v>925</v>
      </c>
      <c r="AB34" s="95"/>
      <c r="AC34" s="96"/>
    </row>
    <row r="35" ht="25.5" customHeight="1">
      <c r="A35" s="84"/>
      <c r="B35" s="126" t="n">
        <v>44945</v>
      </c>
      <c r="C35" s="127" t="s">
        <v>2307</v>
      </c>
      <c r="D35" s="98" t="n">
        <v>97000</v>
      </c>
      <c r="E35" s="92" t="n">
        <v>314</v>
      </c>
      <c r="F35" s="92" t="n">
        <v>45</v>
      </c>
      <c r="G35" s="92" t="n">
        <v>856</v>
      </c>
      <c r="H35" s="98" t="n">
        <v>1664000</v>
      </c>
      <c r="I35" s="92" t="n">
        <v>3663</v>
      </c>
      <c r="J35" s="92" t="n">
        <v>111</v>
      </c>
      <c r="K35" s="128" t="n">
        <v>40.8</v>
      </c>
      <c r="L35" s="92" t="n">
        <v>3269</v>
      </c>
      <c r="M35" s="92" t="n">
        <v>110</v>
      </c>
      <c r="N35" s="122" t="s">
        <v>2308</v>
      </c>
      <c r="O35" s="113" t="n">
        <v>107153</v>
      </c>
      <c r="P35" s="92" t="n">
        <v>26000</v>
      </c>
      <c r="Q35" s="92" t="n">
        <v>7092</v>
      </c>
      <c r="R35" s="92" t="n">
        <v>5943</v>
      </c>
      <c r="S35" s="92" t="n">
        <v>40</v>
      </c>
      <c r="T35" s="92" t="n">
        <v>8</v>
      </c>
      <c r="U35" s="92" t="n">
        <v>9</v>
      </c>
      <c r="V35" s="92"/>
      <c r="W35" s="129" t="n">
        <v>3445</v>
      </c>
      <c r="X35" s="105" t="n">
        <v>564422</v>
      </c>
      <c r="Y35" s="105" t="n">
        <v>120000</v>
      </c>
      <c r="Z35" s="93"/>
      <c r="AA35" s="94" t="n">
        <v>693</v>
      </c>
      <c r="AB35" s="95"/>
      <c r="AC35" s="96"/>
    </row>
    <row r="36" ht="25.5" customHeight="1">
      <c r="A36" s="84"/>
      <c r="B36" s="120" t="n">
        <v>44943</v>
      </c>
      <c r="C36" s="130" t="s">
        <v>2309</v>
      </c>
      <c r="D36" s="92" t="n">
        <v>42000</v>
      </c>
      <c r="E36" s="92" t="n">
        <v>209</v>
      </c>
      <c r="F36" s="92" t="n">
        <v>17</v>
      </c>
      <c r="G36" s="92" t="n">
        <v>458</v>
      </c>
      <c r="H36" s="92" t="n">
        <v>11.1</v>
      </c>
      <c r="I36" s="92" t="n">
        <v>466</v>
      </c>
      <c r="J36" s="92" t="n">
        <v>18</v>
      </c>
      <c r="K36" s="115" t="n">
        <v>44000</v>
      </c>
      <c r="L36" s="92" t="n">
        <v>869</v>
      </c>
      <c r="M36" s="92" t="n">
        <v>41</v>
      </c>
      <c r="N36" s="122" t="s">
        <v>2310</v>
      </c>
      <c r="O36" s="107" t="n">
        <v>34954</v>
      </c>
      <c r="P36" s="92" t="n">
        <v>30000</v>
      </c>
      <c r="Q36" s="92" t="n">
        <v>5190</v>
      </c>
      <c r="R36" s="88" t="n">
        <v>2485</v>
      </c>
      <c r="S36" s="92" t="n">
        <v>67</v>
      </c>
      <c r="T36" s="92" t="n">
        <v>4</v>
      </c>
      <c r="U36" s="92" t="n">
        <v>6</v>
      </c>
      <c r="V36" s="92"/>
      <c r="W36" s="99" t="n">
        <v>1095</v>
      </c>
      <c r="X36" s="99" t="n">
        <v>2959</v>
      </c>
      <c r="Y36" s="99" t="n">
        <v>1230</v>
      </c>
      <c r="Z36" s="93"/>
      <c r="AA36" s="94" t="n">
        <v>1233</v>
      </c>
      <c r="AB36" s="95"/>
      <c r="AC36" s="96"/>
    </row>
    <row r="37" ht="25.5" customHeight="1">
      <c r="A37" s="84"/>
      <c r="B37" s="120" t="n">
        <v>44942</v>
      </c>
      <c r="C37" s="130" t="s">
        <v>2311</v>
      </c>
      <c r="D37" s="92" t="n">
        <v>2504</v>
      </c>
      <c r="E37" s="92" t="n">
        <v>34</v>
      </c>
      <c r="F37" s="92" t="n">
        <v>1</v>
      </c>
      <c r="G37" s="92" t="n">
        <v>65</v>
      </c>
      <c r="H37" s="92" t="n">
        <v>23.5</v>
      </c>
      <c r="I37" s="92" t="n">
        <v>738</v>
      </c>
      <c r="J37" s="92" t="n">
        <v>1</v>
      </c>
      <c r="K37" s="115" t="n">
        <v>37000</v>
      </c>
      <c r="L37" s="92" t="n">
        <v>814</v>
      </c>
      <c r="M37" s="92" t="n">
        <v>12</v>
      </c>
      <c r="N37" s="122" t="s">
        <v>2312</v>
      </c>
      <c r="O37" s="107" t="n">
        <v>18342</v>
      </c>
      <c r="P37" s="92" t="n">
        <v>28000</v>
      </c>
      <c r="Q37" s="92" t="n">
        <v>4197</v>
      </c>
      <c r="R37" s="92" t="n">
        <v>468</v>
      </c>
      <c r="S37" s="131" t="n">
        <v>35</v>
      </c>
      <c r="T37" s="92" t="n">
        <v>1</v>
      </c>
      <c r="U37" s="92" t="n">
        <v>7</v>
      </c>
      <c r="V37" s="92"/>
      <c r="W37" s="99" t="n">
        <v>4842</v>
      </c>
      <c r="X37" s="99" t="n">
        <v>874</v>
      </c>
      <c r="Y37" s="99" t="s">
        <v>2313</v>
      </c>
      <c r="Z37" s="93"/>
      <c r="AA37" s="94" t="n">
        <v>1000</v>
      </c>
      <c r="AB37" s="95"/>
      <c r="AC37" s="96"/>
    </row>
    <row r="38" ht="25.5" customHeight="1">
      <c r="A38" s="84"/>
      <c r="B38" s="120" t="n">
        <v>44938</v>
      </c>
      <c r="C38" s="124" t="s">
        <v>2314</v>
      </c>
      <c r="D38" s="92" t="n">
        <v>19000</v>
      </c>
      <c r="E38" s="92" t="n">
        <v>75</v>
      </c>
      <c r="F38" s="92" t="n">
        <v>14</v>
      </c>
      <c r="G38" s="92" t="n">
        <v>127</v>
      </c>
      <c r="H38" s="92" t="n">
        <v>10.3</v>
      </c>
      <c r="I38" s="92" t="n">
        <v>146</v>
      </c>
      <c r="J38" s="92" t="n">
        <v>20</v>
      </c>
      <c r="K38" s="115" t="n">
        <v>5854</v>
      </c>
      <c r="L38" s="92" t="n">
        <v>76</v>
      </c>
      <c r="M38" s="92" t="n">
        <v>7</v>
      </c>
      <c r="N38" s="122" t="s">
        <v>2315</v>
      </c>
      <c r="O38" s="107" t="n">
        <v>15443</v>
      </c>
      <c r="P38" s="92" t="n">
        <v>20000</v>
      </c>
      <c r="Q38" s="92" t="n">
        <v>3895</v>
      </c>
      <c r="R38" s="92" t="n">
        <v>1132</v>
      </c>
      <c r="S38" s="92" t="n">
        <v>35</v>
      </c>
      <c r="T38" s="92" t="n">
        <v>2</v>
      </c>
      <c r="U38" s="92" t="n">
        <v>6</v>
      </c>
      <c r="V38" s="92"/>
      <c r="W38" s="99" t="n">
        <v>1553</v>
      </c>
      <c r="X38" s="99" t="n">
        <v>1056</v>
      </c>
      <c r="Y38" s="105" t="n">
        <v>59073</v>
      </c>
      <c r="Z38" s="93"/>
      <c r="AA38" s="94" t="n">
        <v>1648</v>
      </c>
      <c r="AB38" s="95"/>
      <c r="AC38" s="96"/>
    </row>
    <row r="39" ht="25.5" customHeight="1">
      <c r="A39" s="84"/>
      <c r="B39" s="132" t="n">
        <v>44932</v>
      </c>
      <c r="C39" s="125" t="s">
        <v>2316</v>
      </c>
      <c r="D39" s="92" t="n">
        <v>43000</v>
      </c>
      <c r="E39" s="92" t="n">
        <v>318</v>
      </c>
      <c r="F39" s="92" t="n">
        <v>70</v>
      </c>
      <c r="G39" s="92" t="n">
        <v>781</v>
      </c>
      <c r="H39" s="92" t="n">
        <v>21.7</v>
      </c>
      <c r="I39" s="92" t="n">
        <v>545</v>
      </c>
      <c r="J39" s="92" t="n">
        <v>63</v>
      </c>
      <c r="K39" s="128" t="s">
        <v>2317</v>
      </c>
      <c r="L39" s="92" t="n">
        <v>2482</v>
      </c>
      <c r="M39" s="92" t="n">
        <v>3688</v>
      </c>
      <c r="N39" s="122" t="s">
        <v>2318</v>
      </c>
      <c r="O39" s="107" t="n">
        <v>26767</v>
      </c>
      <c r="P39" s="92" t="n">
        <v>36000</v>
      </c>
      <c r="Q39" s="92" t="n">
        <v>14000</v>
      </c>
      <c r="R39" s="98" t="n">
        <v>111000</v>
      </c>
      <c r="S39" s="92" t="n">
        <v>1163</v>
      </c>
      <c r="T39" s="92" t="n">
        <v>602</v>
      </c>
      <c r="U39" s="92" t="n">
        <v>120</v>
      </c>
      <c r="V39" s="92"/>
      <c r="W39" s="105" t="n">
        <v>60100</v>
      </c>
      <c r="X39" s="99" t="n">
        <v>1525</v>
      </c>
      <c r="Y39" s="105" t="s">
        <v>2319</v>
      </c>
      <c r="Z39" s="93"/>
      <c r="AA39" s="94" t="n">
        <v>1748</v>
      </c>
      <c r="AB39" s="95"/>
      <c r="AC39" s="96"/>
    </row>
    <row r="40" ht="25.5" customHeight="1">
      <c r="A40" s="84"/>
      <c r="B40" s="120" t="n">
        <v>44930</v>
      </c>
      <c r="C40" s="125" t="s">
        <v>2320</v>
      </c>
      <c r="D40" s="92" t="n">
        <v>31000</v>
      </c>
      <c r="E40" s="92" t="n">
        <v>164</v>
      </c>
      <c r="F40" s="92" t="n">
        <v>14</v>
      </c>
      <c r="G40" s="92" t="n">
        <v>276</v>
      </c>
      <c r="H40" s="92" t="n">
        <v>9203</v>
      </c>
      <c r="I40" s="92" t="n">
        <v>80</v>
      </c>
      <c r="J40" s="92" t="n">
        <v>4</v>
      </c>
      <c r="K40" s="115" t="n">
        <v>7033</v>
      </c>
      <c r="L40" s="92" t="n">
        <v>162</v>
      </c>
      <c r="M40" s="92" t="n">
        <v>2</v>
      </c>
      <c r="N40" s="106" t="s">
        <v>2321</v>
      </c>
      <c r="O40" s="107" t="n">
        <v>14407</v>
      </c>
      <c r="P40" s="92" t="n">
        <v>26000</v>
      </c>
      <c r="Q40" s="92" t="n">
        <v>6357</v>
      </c>
      <c r="R40" s="92" t="n">
        <v>7561</v>
      </c>
      <c r="S40" s="92" t="n">
        <v>157</v>
      </c>
      <c r="T40" s="92" t="n">
        <v>26</v>
      </c>
      <c r="U40" s="92" t="n">
        <v>38</v>
      </c>
      <c r="V40" s="92"/>
      <c r="W40" s="105" t="n">
        <v>55982</v>
      </c>
      <c r="X40" s="99" t="n">
        <v>1713</v>
      </c>
      <c r="Y40" s="105" t="s">
        <v>2322</v>
      </c>
      <c r="Z40" s="93"/>
      <c r="AA40" s="94" t="n">
        <v>1678</v>
      </c>
      <c r="AB40" s="95"/>
      <c r="AC40" s="96"/>
    </row>
    <row r="41" ht="25.5" customHeight="1">
      <c r="A41" s="78"/>
      <c r="B41" s="133" t="s">
        <v>2323</v>
      </c>
      <c r="C41" s="134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80"/>
      <c r="AA41" s="81"/>
      <c r="AB41" s="82"/>
      <c r="AC41" s="83"/>
    </row>
    <row r="42" ht="25.5" customHeight="1">
      <c r="A42" s="84"/>
      <c r="B42" s="120" t="n">
        <v>45290</v>
      </c>
      <c r="C42" s="125" t="s">
        <v>2324</v>
      </c>
      <c r="D42" s="98" t="n">
        <v>100000</v>
      </c>
      <c r="E42" s="92" t="n">
        <v>1545</v>
      </c>
      <c r="F42" s="92" t="n">
        <v>45</v>
      </c>
      <c r="G42" s="92" t="n">
        <v>4824</v>
      </c>
      <c r="H42" s="92" t="n">
        <v>48000</v>
      </c>
      <c r="I42" s="92" t="n">
        <v>816</v>
      </c>
      <c r="J42" s="92" t="n">
        <v>9</v>
      </c>
      <c r="K42" s="115" t="n">
        <v>7918</v>
      </c>
      <c r="L42" s="92" t="n">
        <v>207</v>
      </c>
      <c r="M42" s="92" t="n">
        <v>9</v>
      </c>
      <c r="N42" s="122" t="s">
        <v>2325</v>
      </c>
      <c r="O42" s="107" t="n">
        <v>4617</v>
      </c>
      <c r="P42" s="92" t="n">
        <v>10000</v>
      </c>
      <c r="Q42" s="92" t="n">
        <v>2882</v>
      </c>
      <c r="R42" s="92" t="n">
        <v>1043</v>
      </c>
      <c r="S42" s="92" t="n">
        <v>44</v>
      </c>
      <c r="T42" s="92" t="n">
        <v>1</v>
      </c>
      <c r="U42" s="92" t="n">
        <v>15</v>
      </c>
      <c r="V42" s="92"/>
      <c r="W42" s="99" t="n">
        <v>20211</v>
      </c>
      <c r="X42" s="99" t="n">
        <v>6057</v>
      </c>
      <c r="Y42" s="99" t="s">
        <v>2326</v>
      </c>
      <c r="Z42" s="93"/>
      <c r="AA42" s="94" t="n">
        <v>1442</v>
      </c>
      <c r="AB42" s="95"/>
      <c r="AC42" s="96"/>
    </row>
    <row r="43" ht="25.5" customHeight="1">
      <c r="A43" s="84"/>
      <c r="B43" s="120" t="n">
        <v>44921</v>
      </c>
      <c r="C43" s="125" t="s">
        <v>2327</v>
      </c>
      <c r="D43" s="92" t="n">
        <v>45000</v>
      </c>
      <c r="E43" s="92" t="n">
        <v>237</v>
      </c>
      <c r="F43" s="92" t="n">
        <v>13</v>
      </c>
      <c r="G43" s="92" t="n">
        <v>287</v>
      </c>
      <c r="H43" s="92" t="n">
        <v>14.9</v>
      </c>
      <c r="I43" s="92" t="n">
        <v>521</v>
      </c>
      <c r="J43" s="92" t="n">
        <v>26</v>
      </c>
      <c r="K43" s="128" t="s">
        <v>2328</v>
      </c>
      <c r="L43" s="92" t="n">
        <v>2061</v>
      </c>
      <c r="M43" s="92" t="n">
        <v>162</v>
      </c>
      <c r="N43" s="122" t="s">
        <v>2329</v>
      </c>
      <c r="O43" s="107" t="n">
        <v>3638</v>
      </c>
      <c r="P43" s="92" t="n">
        <v>27000</v>
      </c>
      <c r="Q43" s="92" t="n">
        <v>5876</v>
      </c>
      <c r="R43" s="92" t="n">
        <v>48000</v>
      </c>
      <c r="S43" s="92" t="n">
        <v>872</v>
      </c>
      <c r="T43" s="92" t="n">
        <v>4</v>
      </c>
      <c r="U43" s="92" t="n">
        <v>39</v>
      </c>
      <c r="V43" s="92"/>
      <c r="W43" s="105" t="n">
        <v>47206</v>
      </c>
      <c r="X43" s="99" t="s">
        <v>2330</v>
      </c>
      <c r="Y43" s="99" t="n">
        <v>21</v>
      </c>
      <c r="Z43" s="93"/>
      <c r="AA43" s="94" t="n">
        <v>1366</v>
      </c>
      <c r="AB43" s="95"/>
      <c r="AC43" s="96"/>
    </row>
    <row r="44" ht="25.5" customHeight="1">
      <c r="A44" s="84"/>
      <c r="B44" s="120" t="n">
        <v>44917</v>
      </c>
      <c r="C44" s="124" t="s">
        <v>2331</v>
      </c>
      <c r="D44" s="92" t="n">
        <v>85000</v>
      </c>
      <c r="E44" s="92" t="n">
        <v>229</v>
      </c>
      <c r="F44" s="92" t="n">
        <v>17</v>
      </c>
      <c r="G44" s="92" t="n">
        <v>259</v>
      </c>
      <c r="H44" s="92" t="n">
        <v>21000</v>
      </c>
      <c r="I44" s="92" t="n">
        <v>237</v>
      </c>
      <c r="J44" s="92" t="n">
        <v>29</v>
      </c>
      <c r="K44" s="115" t="n">
        <v>12000</v>
      </c>
      <c r="L44" s="92" t="n">
        <v>283</v>
      </c>
      <c r="M44" s="92" t="n">
        <v>5</v>
      </c>
      <c r="N44" s="122" t="s">
        <v>2332</v>
      </c>
      <c r="O44" s="107" t="n">
        <v>4278</v>
      </c>
      <c r="P44" s="92" t="n">
        <v>28000</v>
      </c>
      <c r="Q44" s="92" t="n">
        <v>6977</v>
      </c>
      <c r="R44" s="92" t="n">
        <v>628</v>
      </c>
      <c r="S44" s="92" t="n">
        <v>19</v>
      </c>
      <c r="T44" s="92" t="n">
        <v>3</v>
      </c>
      <c r="U44" s="92" t="n">
        <v>8</v>
      </c>
      <c r="V44" s="92"/>
      <c r="W44" s="105" t="n">
        <v>23689</v>
      </c>
      <c r="X44" s="99" t="n">
        <v>4194</v>
      </c>
      <c r="Y44" s="99" t="n">
        <v>83</v>
      </c>
      <c r="Z44" s="93"/>
      <c r="AA44" s="94" t="n">
        <v>11444</v>
      </c>
      <c r="AB44" s="95"/>
      <c r="AC44" s="96"/>
    </row>
    <row r="45" ht="25.5" customHeight="1">
      <c r="A45" s="84"/>
      <c r="B45" s="120" t="n">
        <v>44896</v>
      </c>
      <c r="C45" s="124" t="s">
        <v>2333</v>
      </c>
      <c r="D45" s="92" t="n">
        <v>22000</v>
      </c>
      <c r="E45" s="92" t="n">
        <v>109</v>
      </c>
      <c r="F45" s="92" t="n">
        <v>18</v>
      </c>
      <c r="G45" s="92" t="n">
        <v>307</v>
      </c>
      <c r="H45" s="92" t="n">
        <v>11000</v>
      </c>
      <c r="I45" s="92" t="n">
        <v>119</v>
      </c>
      <c r="J45" s="92" t="n">
        <v>7</v>
      </c>
      <c r="K45" s="115" t="n">
        <v>7390</v>
      </c>
      <c r="L45" s="92" t="n">
        <v>99</v>
      </c>
      <c r="M45" s="92" t="n">
        <v>2</v>
      </c>
      <c r="N45" s="122" t="s">
        <v>2334</v>
      </c>
      <c r="O45" s="107" t="n">
        <v>3544</v>
      </c>
      <c r="P45" s="92" t="n">
        <v>36000</v>
      </c>
      <c r="Q45" s="92" t="n">
        <v>7748</v>
      </c>
      <c r="R45" s="92" t="n">
        <v>414</v>
      </c>
      <c r="S45" s="92" t="n">
        <v>20</v>
      </c>
      <c r="T45" s="92" t="n">
        <v>2</v>
      </c>
      <c r="U45" s="92" t="n">
        <v>3</v>
      </c>
      <c r="V45" s="92"/>
      <c r="W45" s="99" t="n">
        <v>1166</v>
      </c>
      <c r="X45" s="99" t="n">
        <v>3168</v>
      </c>
      <c r="Y45" s="105" t="s">
        <v>2335</v>
      </c>
      <c r="Z45" s="93"/>
      <c r="AA45" s="94" t="n">
        <v>1540</v>
      </c>
      <c r="AB45" s="95"/>
      <c r="AC45" s="96" t="s">
        <v>2336</v>
      </c>
    </row>
    <row r="46" ht="25.5" customHeight="1">
      <c r="A46" s="84"/>
      <c r="B46" s="120" t="n">
        <v>44894</v>
      </c>
      <c r="C46" s="125" t="s">
        <v>2337</v>
      </c>
      <c r="D46" s="98" t="n">
        <v>67000</v>
      </c>
      <c r="E46" s="92" t="n">
        <v>515</v>
      </c>
      <c r="F46" s="92" t="n">
        <v>25</v>
      </c>
      <c r="G46" s="92" t="n">
        <v>1013</v>
      </c>
      <c r="H46" s="92" t="n">
        <v>10000</v>
      </c>
      <c r="I46" s="92" t="n">
        <v>136</v>
      </c>
      <c r="J46" s="92" t="n">
        <v>1</v>
      </c>
      <c r="K46" s="115" t="n">
        <v>11000</v>
      </c>
      <c r="L46" s="92" t="n">
        <v>125</v>
      </c>
      <c r="M46" s="92" t="n">
        <v>2</v>
      </c>
      <c r="N46" s="122" t="s">
        <v>2338</v>
      </c>
      <c r="O46" s="107" t="n">
        <v>25291</v>
      </c>
      <c r="P46" s="92" t="n">
        <v>24000</v>
      </c>
      <c r="Q46" s="92" t="n">
        <v>5125</v>
      </c>
      <c r="R46" s="92" t="n">
        <v>375</v>
      </c>
      <c r="S46" s="92" t="n">
        <v>21</v>
      </c>
      <c r="T46" s="92" t="n">
        <v>1</v>
      </c>
      <c r="U46" s="92" t="n">
        <v>1</v>
      </c>
      <c r="V46" s="92"/>
      <c r="W46" s="99" t="n">
        <v>1401</v>
      </c>
      <c r="X46" s="99" t="n">
        <v>12419</v>
      </c>
      <c r="Y46" s="105" t="s">
        <v>2339</v>
      </c>
      <c r="Z46" s="93"/>
      <c r="AA46" s="94" t="n">
        <v>2797</v>
      </c>
      <c r="AB46" s="95"/>
      <c r="AC46" s="96"/>
    </row>
    <row r="47" ht="25.5" customHeight="1">
      <c r="A47" s="84"/>
      <c r="B47" s="120" t="n">
        <v>44890</v>
      </c>
      <c r="C47" s="125" t="s">
        <v>2340</v>
      </c>
      <c r="D47" s="98" t="n">
        <v>70000</v>
      </c>
      <c r="E47" s="92" t="n">
        <v>316</v>
      </c>
      <c r="F47" s="92" t="n">
        <v>32</v>
      </c>
      <c r="G47" s="92" t="n">
        <v>781</v>
      </c>
      <c r="H47" s="92" t="n">
        <v>9701</v>
      </c>
      <c r="I47" s="92" t="n">
        <v>103</v>
      </c>
      <c r="J47" s="92" t="n">
        <v>3</v>
      </c>
      <c r="K47" s="128" t="s">
        <v>2341</v>
      </c>
      <c r="L47" s="92" t="n">
        <v>3061</v>
      </c>
      <c r="M47" s="92" t="n">
        <v>128</v>
      </c>
      <c r="N47" s="122" t="s">
        <v>2342</v>
      </c>
      <c r="O47" s="107" t="n">
        <v>6081</v>
      </c>
      <c r="P47" s="92" t="n">
        <v>25000</v>
      </c>
      <c r="Q47" s="92" t="n">
        <v>4548</v>
      </c>
      <c r="R47" s="92" t="n">
        <v>687</v>
      </c>
      <c r="S47" s="92" t="n">
        <v>25</v>
      </c>
      <c r="T47" s="92" t="n">
        <v>1</v>
      </c>
      <c r="U47" s="92" t="n">
        <v>0</v>
      </c>
      <c r="V47" s="92"/>
      <c r="W47" s="99" t="n">
        <v>3184</v>
      </c>
      <c r="X47" s="105" t="n">
        <v>572272</v>
      </c>
      <c r="Y47" s="99" t="n">
        <v>4926</v>
      </c>
      <c r="Z47" s="93"/>
      <c r="AA47" s="94" t="n">
        <v>1912</v>
      </c>
      <c r="AB47" s="95"/>
      <c r="AC47" s="96"/>
    </row>
    <row r="48" ht="25.5" customHeight="1">
      <c r="A48" s="84"/>
      <c r="B48" s="120" t="n">
        <v>44889</v>
      </c>
      <c r="C48" s="135" t="s">
        <v>2343</v>
      </c>
      <c r="D48" s="92" t="n">
        <v>18000</v>
      </c>
      <c r="E48" s="92" t="n">
        <v>62</v>
      </c>
      <c r="F48" s="92" t="n">
        <v>7</v>
      </c>
      <c r="G48" s="92" t="n">
        <v>153</v>
      </c>
      <c r="H48" s="92" t="n">
        <v>15.6</v>
      </c>
      <c r="I48" s="92" t="n">
        <v>63</v>
      </c>
      <c r="J48" s="92" t="n">
        <v>2</v>
      </c>
      <c r="K48" s="115" t="n">
        <v>5809</v>
      </c>
      <c r="L48" s="92" t="n">
        <v>72</v>
      </c>
      <c r="M48" s="92" t="n">
        <v>2</v>
      </c>
      <c r="N48" s="136" t="s">
        <v>2344</v>
      </c>
      <c r="O48" s="107" t="n">
        <v>2169</v>
      </c>
      <c r="P48" s="92" t="n">
        <v>19000</v>
      </c>
      <c r="Q48" s="92" t="n">
        <v>8767</v>
      </c>
      <c r="R48" s="92" t="n">
        <v>406</v>
      </c>
      <c r="S48" s="92" t="n">
        <v>16</v>
      </c>
      <c r="T48" s="92" t="n">
        <v>0</v>
      </c>
      <c r="U48" s="92" t="n">
        <v>2</v>
      </c>
      <c r="V48" s="92"/>
      <c r="W48" s="99" t="n">
        <v>4291</v>
      </c>
      <c r="X48" s="99" t="n">
        <v>8028</v>
      </c>
      <c r="Y48" s="99" t="n">
        <v>6331</v>
      </c>
      <c r="Z48" s="93"/>
      <c r="AA48" s="94" t="n">
        <v>2147</v>
      </c>
      <c r="AB48" s="95"/>
      <c r="AC48" s="96"/>
    </row>
    <row r="49" ht="25.5" customHeight="1">
      <c r="A49" s="84"/>
      <c r="B49" s="120" t="n">
        <v>44888</v>
      </c>
      <c r="C49" s="137" t="s">
        <v>2345</v>
      </c>
      <c r="D49" s="98" t="n">
        <v>82000</v>
      </c>
      <c r="E49" s="92" t="n">
        <v>182</v>
      </c>
      <c r="F49" s="92" t="n">
        <v>38</v>
      </c>
      <c r="G49" s="92" t="n">
        <v>302</v>
      </c>
      <c r="H49" s="98" t="n">
        <v>56</v>
      </c>
      <c r="I49" s="92" t="n">
        <v>3063</v>
      </c>
      <c r="J49" s="92" t="n">
        <v>753</v>
      </c>
      <c r="K49" s="115" t="n">
        <v>26000</v>
      </c>
      <c r="L49" s="92" t="n">
        <v>157</v>
      </c>
      <c r="M49" s="92" t="n">
        <v>9</v>
      </c>
      <c r="N49" s="136" t="s">
        <v>2346</v>
      </c>
      <c r="O49" s="107" t="n">
        <v>15588</v>
      </c>
      <c r="P49" s="92" t="n">
        <v>24000</v>
      </c>
      <c r="Q49" s="92" t="n">
        <v>4624</v>
      </c>
      <c r="R49" s="92" t="n">
        <v>1059</v>
      </c>
      <c r="S49" s="92" t="n">
        <v>18</v>
      </c>
      <c r="T49" s="92" t="n">
        <v>4</v>
      </c>
      <c r="U49" s="92" t="n">
        <v>3</v>
      </c>
      <c r="V49" s="92"/>
      <c r="W49" s="99" t="n">
        <v>3182</v>
      </c>
      <c r="X49" s="99" t="n">
        <v>3965</v>
      </c>
      <c r="Y49" s="99" t="n">
        <v>18796</v>
      </c>
      <c r="Z49" s="93"/>
      <c r="AA49" s="138" t="n">
        <v>37577</v>
      </c>
      <c r="AB49" s="95"/>
      <c r="AC49" s="96"/>
    </row>
    <row r="50" ht="25.5" customHeight="1">
      <c r="A50" s="84"/>
      <c r="B50" s="120" t="n">
        <v>44882</v>
      </c>
      <c r="C50" s="135" t="s">
        <v>2347</v>
      </c>
      <c r="D50" s="92" t="n">
        <v>22000</v>
      </c>
      <c r="E50" s="92" t="n">
        <v>149</v>
      </c>
      <c r="F50" s="92" t="n">
        <v>17</v>
      </c>
      <c r="G50" s="92" t="n">
        <v>497</v>
      </c>
      <c r="H50" s="92" t="n">
        <v>17.3</v>
      </c>
      <c r="I50" s="92" t="n">
        <v>209</v>
      </c>
      <c r="J50" s="92" t="n">
        <v>23</v>
      </c>
      <c r="K50" s="115" t="n">
        <v>10000</v>
      </c>
      <c r="L50" s="92" t="n">
        <v>232</v>
      </c>
      <c r="M50" s="92" t="n">
        <v>4</v>
      </c>
      <c r="N50" s="139" t="s">
        <v>2348</v>
      </c>
      <c r="O50" s="107" t="n">
        <v>17483</v>
      </c>
      <c r="P50" s="92" t="n">
        <v>15000</v>
      </c>
      <c r="Q50" s="92" t="n">
        <v>2941</v>
      </c>
      <c r="R50" s="92" t="n">
        <v>345</v>
      </c>
      <c r="S50" s="92" t="n">
        <v>19</v>
      </c>
      <c r="T50" s="92" t="n">
        <v>0</v>
      </c>
      <c r="U50" s="92" t="n">
        <v>5</v>
      </c>
      <c r="V50" s="92"/>
      <c r="W50" s="99" t="n">
        <v>9095</v>
      </c>
      <c r="X50" s="99" t="n">
        <v>3959</v>
      </c>
      <c r="Y50" s="99" t="n">
        <v>40230</v>
      </c>
      <c r="Z50" s="93"/>
      <c r="AA50" s="94" t="n">
        <v>1321</v>
      </c>
      <c r="AB50" s="95"/>
      <c r="AC50" s="96"/>
    </row>
    <row r="51" ht="25.5" customHeight="1">
      <c r="A51" s="84"/>
      <c r="B51" s="120"/>
      <c r="C51" s="137" t="s">
        <v>2349</v>
      </c>
      <c r="D51" s="92"/>
      <c r="E51" s="92"/>
      <c r="F51" s="92"/>
      <c r="G51" s="92"/>
      <c r="H51" s="92"/>
      <c r="I51" s="92"/>
      <c r="J51" s="92"/>
      <c r="K51" s="115"/>
      <c r="L51" s="92"/>
      <c r="M51" s="92"/>
      <c r="N51" s="139"/>
      <c r="O51" s="107"/>
      <c r="P51" s="92"/>
      <c r="Q51" s="92"/>
      <c r="R51" s="92"/>
      <c r="S51" s="92"/>
      <c r="T51" s="92"/>
      <c r="U51" s="92"/>
      <c r="V51" s="92"/>
      <c r="W51" s="99"/>
      <c r="X51" s="99"/>
      <c r="Y51" s="99" t="s">
        <v>2350</v>
      </c>
      <c r="Z51" s="93"/>
      <c r="AA51" s="94"/>
      <c r="AB51" s="95"/>
      <c r="AC51" s="96"/>
    </row>
    <row r="52" ht="25.5" customHeight="1">
      <c r="A52" s="84"/>
      <c r="B52" s="120" t="n">
        <v>44880</v>
      </c>
      <c r="C52" s="137" t="s">
        <v>2351</v>
      </c>
      <c r="D52" s="92" t="n">
        <v>64000</v>
      </c>
      <c r="E52" s="92" t="n">
        <v>529</v>
      </c>
      <c r="F52" s="92" t="n">
        <v>42</v>
      </c>
      <c r="G52" s="92" t="n">
        <v>2757</v>
      </c>
      <c r="H52" s="92" t="n">
        <v>25000</v>
      </c>
      <c r="I52" s="92" t="n">
        <v>214</v>
      </c>
      <c r="J52" s="92" t="n">
        <v>23</v>
      </c>
      <c r="K52" s="115" t="s">
        <v>2352</v>
      </c>
      <c r="L52" s="92" t="n">
        <v>5876</v>
      </c>
      <c r="M52" s="92" t="n">
        <v>410</v>
      </c>
      <c r="N52" s="139" t="s">
        <v>2353</v>
      </c>
      <c r="O52" s="107" t="n">
        <v>6100</v>
      </c>
      <c r="P52" s="92" t="n">
        <v>16000</v>
      </c>
      <c r="Q52" s="92" t="n">
        <v>3110</v>
      </c>
      <c r="R52" s="92" t="n">
        <v>2195</v>
      </c>
      <c r="S52" s="92" t="n">
        <v>40</v>
      </c>
      <c r="T52" s="92" t="n">
        <v>10</v>
      </c>
      <c r="U52" s="92" t="n">
        <v>23</v>
      </c>
      <c r="V52" s="92"/>
      <c r="W52" s="105" t="n">
        <v>23570</v>
      </c>
      <c r="X52" s="105" t="n">
        <v>126069</v>
      </c>
      <c r="Y52" s="105" t="n">
        <v>406365</v>
      </c>
      <c r="Z52" s="93"/>
      <c r="AA52" s="94" t="n">
        <v>2361</v>
      </c>
      <c r="AB52" s="95"/>
      <c r="AC52" s="96"/>
    </row>
    <row r="53" ht="25.5" customHeight="1">
      <c r="A53" s="84"/>
      <c r="B53" s="120" t="n">
        <v>44874</v>
      </c>
      <c r="C53" s="140" t="s">
        <v>2354</v>
      </c>
      <c r="D53" s="92" t="n">
        <v>39000</v>
      </c>
      <c r="E53" s="92" t="n">
        <v>196</v>
      </c>
      <c r="F53" s="92" t="n">
        <v>27</v>
      </c>
      <c r="G53" s="92" t="n">
        <v>198</v>
      </c>
      <c r="H53" s="92" t="n">
        <v>26.9</v>
      </c>
      <c r="I53" s="92" t="n">
        <v>75</v>
      </c>
      <c r="J53" s="92" t="n">
        <v>6</v>
      </c>
      <c r="K53" s="115" t="n">
        <v>571</v>
      </c>
      <c r="L53" s="92" t="n">
        <v>13</v>
      </c>
      <c r="M53" s="92" t="n">
        <v>0</v>
      </c>
      <c r="N53" s="139" t="s">
        <v>2355</v>
      </c>
      <c r="O53" s="107" t="n">
        <v>3092</v>
      </c>
      <c r="P53" s="92" t="n">
        <v>15000</v>
      </c>
      <c r="Q53" s="92" t="n">
        <v>3193</v>
      </c>
      <c r="R53" s="92" t="n">
        <v>463</v>
      </c>
      <c r="S53" s="92" t="n">
        <v>19</v>
      </c>
      <c r="T53" s="92" t="n">
        <v>3</v>
      </c>
      <c r="U53" s="92" t="n">
        <v>0</v>
      </c>
      <c r="V53" s="92"/>
      <c r="W53" s="105" t="n">
        <v>39937</v>
      </c>
      <c r="X53" s="99" t="n">
        <v>7568</v>
      </c>
      <c r="Y53" s="105" t="n">
        <v>67460</v>
      </c>
      <c r="Z53" s="93"/>
      <c r="AA53" s="94" t="n">
        <v>1238</v>
      </c>
      <c r="AB53" s="95"/>
      <c r="AC53" s="96"/>
    </row>
    <row r="54" ht="25.5" customHeight="1">
      <c r="A54" s="84"/>
      <c r="B54" s="120" t="n">
        <v>44866</v>
      </c>
      <c r="C54" s="137" t="s">
        <v>2356</v>
      </c>
      <c r="D54" s="92" t="n">
        <v>36000</v>
      </c>
      <c r="E54" s="92" t="n">
        <v>196</v>
      </c>
      <c r="F54" s="92" t="n">
        <v>19</v>
      </c>
      <c r="G54" s="92" t="n">
        <v>389</v>
      </c>
      <c r="H54" s="92" t="n">
        <v>12.4</v>
      </c>
      <c r="I54" s="92" t="n">
        <v>284</v>
      </c>
      <c r="J54" s="92" t="n">
        <v>10</v>
      </c>
      <c r="K54" s="115" t="n">
        <v>19000</v>
      </c>
      <c r="L54" s="92" t="n">
        <v>509</v>
      </c>
      <c r="M54" s="92" t="n">
        <v>1</v>
      </c>
      <c r="N54" s="139" t="s">
        <v>2357</v>
      </c>
      <c r="O54" s="107" t="n">
        <v>24269</v>
      </c>
      <c r="P54" s="92" t="n">
        <v>19000</v>
      </c>
      <c r="Q54" s="92" t="n">
        <v>4012</v>
      </c>
      <c r="R54" s="92" t="n">
        <v>3234</v>
      </c>
      <c r="S54" s="92" t="n">
        <v>54</v>
      </c>
      <c r="T54" s="92" t="n">
        <v>7</v>
      </c>
      <c r="U54" s="92" t="n">
        <v>4</v>
      </c>
      <c r="V54" s="92"/>
      <c r="W54" s="99" t="n">
        <v>12408</v>
      </c>
      <c r="X54" s="99" t="n">
        <v>4154</v>
      </c>
      <c r="Y54" s="105" t="s">
        <v>2358</v>
      </c>
      <c r="Z54" s="93"/>
      <c r="AA54" s="94" t="n">
        <v>1723</v>
      </c>
      <c r="AB54" s="95"/>
      <c r="AC54" s="96"/>
    </row>
  </sheetData>
  <mergeCells count="10">
    <mergeCell ref="A1:A3"/>
    <mergeCell ref="B1:B3"/>
    <mergeCell ref="D1:G1"/>
    <mergeCell ref="H1:J1"/>
    <mergeCell ref="K1:M1"/>
    <mergeCell ref="R1:U1"/>
    <mergeCell ref="AB1:AB3"/>
    <mergeCell ref="B4:Y4"/>
    <mergeCell ref="B10:Y10"/>
    <mergeCell ref="B41:Y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5.02" customWidth="1"/>
    <col min="2" max="2" width="53.43" customWidth="1"/>
    <col min="3" max="3" width="22.52" customWidth="1"/>
    <col min="4" max="4" width="66.7" customWidth="1"/>
    <col min="5" max="18" width="9.6" customWidth="1"/>
    <col min="19" max="19" width="11.35" customWidth="1"/>
    <col min="20" max="20" width="11.52" customWidth="1"/>
    <col min="21" max="21" width="19.73" customWidth="1"/>
    <col min="22" max="23" width="16.59" customWidth="1"/>
  </cols>
  <sheetData>
    <row r="1">
      <c r="A1" s="141" t="s">
        <v>2359</v>
      </c>
      <c r="B1" s="141" t="s">
        <v>2360</v>
      </c>
      <c r="C1" s="141" t="s">
        <v>2361</v>
      </c>
      <c r="D1" s="141" t="s">
        <v>2362</v>
      </c>
      <c r="E1" s="142" t="s">
        <v>2363</v>
      </c>
      <c r="F1" s="142"/>
      <c r="G1" s="142"/>
      <c r="H1" s="142"/>
      <c r="I1" s="142"/>
      <c r="J1" s="142" t="s">
        <v>2364</v>
      </c>
      <c r="K1" s="142" t="s">
        <v>2365</v>
      </c>
      <c r="L1" s="142" t="s">
        <v>2366</v>
      </c>
      <c r="M1" s="142" t="s">
        <v>2367</v>
      </c>
      <c r="N1" s="142"/>
      <c r="O1" s="142"/>
      <c r="P1" s="142" t="s">
        <v>2368</v>
      </c>
      <c r="Q1" s="142"/>
      <c r="R1" s="142" t="s">
        <v>2369</v>
      </c>
      <c r="S1" s="142" t="s">
        <v>2370</v>
      </c>
      <c r="T1" s="142" t="s">
        <v>2371</v>
      </c>
      <c r="U1" s="142" t="s">
        <v>2372</v>
      </c>
    </row>
    <row r="2">
      <c r="A2" s="143"/>
      <c r="B2" s="143"/>
      <c r="C2" s="143"/>
      <c r="D2" s="143"/>
      <c r="E2" s="144" t="s">
        <v>2373</v>
      </c>
      <c r="F2" s="144" t="s">
        <v>2374</v>
      </c>
      <c r="G2" s="144" t="s">
        <v>2375</v>
      </c>
      <c r="H2" s="144" t="s">
        <v>2376</v>
      </c>
      <c r="I2" s="144" t="s">
        <v>2377</v>
      </c>
      <c r="J2" s="145" t="s">
        <v>2378</v>
      </c>
      <c r="K2" s="145" t="s">
        <v>2379</v>
      </c>
      <c r="L2" s="145" t="s">
        <v>2380</v>
      </c>
      <c r="M2" s="145" t="s">
        <v>2381</v>
      </c>
      <c r="N2" s="145" t="s">
        <v>2382</v>
      </c>
      <c r="O2" s="145" t="s">
        <v>2383</v>
      </c>
      <c r="P2" s="145" t="s">
        <v>2384</v>
      </c>
      <c r="Q2" s="145" t="s">
        <v>2385</v>
      </c>
      <c r="R2" s="145" t="s">
        <v>2386</v>
      </c>
      <c r="S2" s="145" t="s">
        <v>2387</v>
      </c>
      <c r="T2" s="145" t="s">
        <v>2388</v>
      </c>
      <c r="U2" s="145"/>
      <c r="V2" s="3"/>
      <c r="W2" s="3"/>
    </row>
    <row r="3" ht="24.75" customHeight="1">
      <c r="A3" s="146" t="n">
        <v>44489</v>
      </c>
      <c r="B3" s="147" t="s">
        <v>2389</v>
      </c>
      <c r="C3" s="148" t="s">
        <v>2390</v>
      </c>
      <c r="D3" s="149" t="s">
        <v>2391</v>
      </c>
      <c r="E3" s="148" t="n">
        <v>31000</v>
      </c>
      <c r="F3" s="148" t="n">
        <v>570</v>
      </c>
      <c r="G3" s="148" t="n">
        <v>20</v>
      </c>
      <c r="H3" s="148" t="n">
        <v>1078</v>
      </c>
      <c r="I3" s="148" t="n">
        <v>26</v>
      </c>
      <c r="J3" s="150" t="n">
        <v>24</v>
      </c>
      <c r="K3" s="150" t="n">
        <v>190000</v>
      </c>
      <c r="L3" s="150" t="n">
        <v>149</v>
      </c>
      <c r="M3" s="150" t="n">
        <v>39049</v>
      </c>
      <c r="N3" s="148" t="n">
        <v>906</v>
      </c>
      <c r="O3" s="148" t="n">
        <v>538</v>
      </c>
      <c r="P3" s="148"/>
      <c r="Q3" s="151"/>
      <c r="R3" s="148"/>
      <c r="S3" s="148" t="n">
        <v>810</v>
      </c>
      <c r="T3" s="148" t="n">
        <v>16000</v>
      </c>
      <c r="U3" s="152"/>
      <c r="V3" s="70"/>
      <c r="W3" s="70"/>
    </row>
    <row r="4" ht="24.75" customHeight="1">
      <c r="A4" s="146" t="n">
        <v>44462</v>
      </c>
      <c r="B4" s="147" t="s">
        <v>2392</v>
      </c>
      <c r="C4" s="148"/>
      <c r="D4" s="153" t="s">
        <v>2393</v>
      </c>
      <c r="E4" s="148" t="n">
        <v>3915</v>
      </c>
      <c r="F4" s="148" t="n">
        <v>1104</v>
      </c>
      <c r="G4" s="148" t="n">
        <v>14</v>
      </c>
      <c r="H4" s="148" t="n">
        <v>405</v>
      </c>
      <c r="I4" s="148" t="n">
        <v>0</v>
      </c>
      <c r="J4" s="150"/>
      <c r="K4" s="150"/>
      <c r="L4" s="150"/>
      <c r="M4" s="150"/>
      <c r="N4" s="148"/>
      <c r="O4" s="148"/>
      <c r="P4" s="148"/>
      <c r="Q4" s="151"/>
      <c r="R4" s="148"/>
      <c r="S4" s="148"/>
      <c r="T4" s="148"/>
      <c r="U4" s="152"/>
      <c r="V4" s="70"/>
      <c r="W4" s="70"/>
    </row>
    <row r="5" ht="24.75" customHeight="1">
      <c r="A5" s="146" t="n">
        <v>44461</v>
      </c>
      <c r="B5" s="147" t="s">
        <v>2394</v>
      </c>
      <c r="C5" s="148"/>
      <c r="D5" s="149" t="s">
        <v>2395</v>
      </c>
      <c r="E5" s="148" t="n">
        <v>5326</v>
      </c>
      <c r="F5" s="148" t="n">
        <v>1088</v>
      </c>
      <c r="G5" s="148" t="n">
        <v>3</v>
      </c>
      <c r="H5" s="148" t="n">
        <v>384</v>
      </c>
      <c r="I5" s="148" t="n">
        <v>0</v>
      </c>
      <c r="J5" s="150"/>
      <c r="K5" s="150"/>
      <c r="L5" s="150"/>
      <c r="M5" s="150"/>
      <c r="N5" s="148"/>
      <c r="O5" s="148"/>
      <c r="P5" s="148"/>
      <c r="Q5" s="151"/>
      <c r="R5" s="148"/>
      <c r="S5" s="148"/>
      <c r="T5" s="148"/>
      <c r="U5" s="152"/>
      <c r="V5" s="70"/>
      <c r="W5" s="70"/>
    </row>
    <row r="6" ht="24.75" customHeight="1">
      <c r="A6" s="146" t="n">
        <v>44456</v>
      </c>
      <c r="B6" s="147" t="s">
        <v>2396</v>
      </c>
      <c r="C6" s="148"/>
      <c r="D6" s="149" t="s">
        <v>2397</v>
      </c>
      <c r="E6" s="148" t="n">
        <v>4673</v>
      </c>
      <c r="F6" s="148" t="n">
        <v>100</v>
      </c>
      <c r="G6" s="148" t="n">
        <v>4</v>
      </c>
      <c r="H6" s="148" t="n">
        <v>88</v>
      </c>
      <c r="I6" s="148" t="n">
        <v>0</v>
      </c>
      <c r="J6" s="150"/>
      <c r="K6" s="150"/>
      <c r="L6" s="150"/>
      <c r="M6" s="150"/>
      <c r="N6" s="148"/>
      <c r="O6" s="148"/>
      <c r="P6" s="148"/>
      <c r="Q6" s="151"/>
      <c r="R6" s="148"/>
      <c r="S6" s="148"/>
      <c r="T6" s="148"/>
      <c r="U6" s="152"/>
      <c r="V6" s="70"/>
      <c r="W6" s="70"/>
    </row>
    <row r="7" ht="24.75" customHeight="1">
      <c r="A7" s="146" t="n">
        <v>44454</v>
      </c>
      <c r="B7" s="148" t="s">
        <v>2398</v>
      </c>
      <c r="C7" s="148"/>
      <c r="D7" s="149" t="s">
        <v>2399</v>
      </c>
      <c r="E7" s="148" t="n">
        <v>4600</v>
      </c>
      <c r="F7" s="148" t="n">
        <v>4595</v>
      </c>
      <c r="G7" s="148" t="n">
        <v>13</v>
      </c>
      <c r="H7" s="148" t="n">
        <v>134</v>
      </c>
      <c r="I7" s="148" t="n">
        <v>2998</v>
      </c>
      <c r="J7" s="150"/>
      <c r="K7" s="150"/>
      <c r="L7" s="150"/>
      <c r="M7" s="150"/>
      <c r="N7" s="148"/>
      <c r="O7" s="148"/>
      <c r="P7" s="148"/>
      <c r="Q7" s="151"/>
      <c r="R7" s="148"/>
      <c r="S7" s="148"/>
      <c r="T7" s="148"/>
      <c r="U7" s="152"/>
      <c r="V7" s="70"/>
      <c r="W7" s="70"/>
    </row>
    <row r="8" ht="24.75" customHeight="1">
      <c r="A8" s="146" t="n">
        <v>44453</v>
      </c>
      <c r="B8" s="148" t="s">
        <v>2400</v>
      </c>
      <c r="C8" s="149"/>
      <c r="D8" s="153" t="s">
        <v>2401</v>
      </c>
      <c r="E8" s="148" t="n">
        <v>4724</v>
      </c>
      <c r="F8" s="148" t="n">
        <v>129</v>
      </c>
      <c r="G8" s="148" t="n">
        <v>3</v>
      </c>
      <c r="H8" s="148" t="n">
        <v>100</v>
      </c>
      <c r="I8" s="148" t="n">
        <v>4</v>
      </c>
      <c r="J8" s="150"/>
      <c r="K8" s="150"/>
      <c r="L8" s="150"/>
      <c r="M8" s="150"/>
      <c r="N8" s="148"/>
      <c r="O8" s="148"/>
      <c r="P8" s="148"/>
      <c r="Q8" s="151"/>
      <c r="R8" s="148"/>
      <c r="S8" s="148"/>
      <c r="T8" s="148"/>
      <c r="U8" s="152"/>
      <c r="V8" s="70"/>
      <c r="W8" s="70"/>
    </row>
    <row r="9" ht="24.75" customHeight="1">
      <c r="A9" s="146" t="n">
        <v>44427</v>
      </c>
      <c r="B9" s="148" t="s">
        <v>2402</v>
      </c>
      <c r="C9" s="148"/>
      <c r="D9" s="149" t="s">
        <v>2403</v>
      </c>
      <c r="E9" s="148" t="n">
        <v>1792</v>
      </c>
      <c r="F9" s="148" t="n">
        <v>24</v>
      </c>
      <c r="G9" s="148" t="n">
        <v>0</v>
      </c>
      <c r="H9" s="148" t="n">
        <v>49</v>
      </c>
      <c r="I9" s="148" t="n">
        <v>2</v>
      </c>
      <c r="J9" s="150"/>
      <c r="K9" s="150"/>
      <c r="L9" s="150"/>
      <c r="M9" s="150" t="n">
        <v>287</v>
      </c>
      <c r="N9" s="148" t="n">
        <v>2</v>
      </c>
      <c r="O9" s="148" t="n">
        <v>0</v>
      </c>
      <c r="P9" s="148"/>
      <c r="Q9" s="151"/>
      <c r="R9" s="148"/>
      <c r="S9" s="148" t="n">
        <v>613</v>
      </c>
      <c r="T9" s="148" t="n">
        <v>24000</v>
      </c>
      <c r="U9" s="152"/>
      <c r="V9" s="154"/>
      <c r="W9" s="154"/>
    </row>
    <row r="10" ht="24.75" customHeight="1">
      <c r="A10" s="146" t="n">
        <v>44426</v>
      </c>
      <c r="B10" s="148" t="s">
        <v>2404</v>
      </c>
      <c r="C10" s="148"/>
      <c r="D10" s="149" t="s">
        <v>2405</v>
      </c>
      <c r="E10" s="148" t="n">
        <v>6313</v>
      </c>
      <c r="F10" s="148" t="n">
        <v>90</v>
      </c>
      <c r="G10" s="148" t="n">
        <v>3</v>
      </c>
      <c r="H10" s="148" t="n">
        <v>115</v>
      </c>
      <c r="I10" s="148" t="n">
        <v>2</v>
      </c>
      <c r="J10" s="150"/>
      <c r="K10" s="150"/>
      <c r="L10" s="150"/>
      <c r="M10" s="150" t="n">
        <v>221</v>
      </c>
      <c r="N10" s="148" t="n">
        <v>3</v>
      </c>
      <c r="O10" s="148" t="n">
        <v>0</v>
      </c>
      <c r="P10" s="148"/>
      <c r="Q10" s="151"/>
      <c r="R10" s="148"/>
      <c r="S10" s="148" t="n">
        <v>237</v>
      </c>
      <c r="T10" s="148" t="n">
        <v>272</v>
      </c>
      <c r="U10" s="152"/>
      <c r="V10" s="154"/>
      <c r="W10" s="154"/>
    </row>
    <row r="11" ht="24.75" customHeight="1">
      <c r="A11" s="146" t="n">
        <v>44417</v>
      </c>
      <c r="B11" s="148" t="s">
        <v>2406</v>
      </c>
      <c r="C11" s="148" t="s">
        <v>2407</v>
      </c>
      <c r="D11" s="155" t="s">
        <v>2408</v>
      </c>
      <c r="E11" s="148" t="n">
        <v>23000</v>
      </c>
      <c r="F11" s="148" t="n">
        <v>504</v>
      </c>
      <c r="G11" s="148" t="n">
        <v>24</v>
      </c>
      <c r="H11" s="148" t="n">
        <v>492</v>
      </c>
      <c r="I11" s="148" t="n">
        <v>29</v>
      </c>
      <c r="J11" s="150"/>
      <c r="K11" s="150"/>
      <c r="L11" s="150"/>
      <c r="M11" s="150" t="n">
        <v>437</v>
      </c>
      <c r="N11" s="148" t="n">
        <v>3</v>
      </c>
      <c r="O11" s="148" t="n">
        <v>0</v>
      </c>
      <c r="P11" s="148" t="n">
        <v>19000</v>
      </c>
      <c r="Q11" s="151" t="n">
        <v>3782</v>
      </c>
      <c r="R11" s="148"/>
      <c r="S11" s="148" t="n">
        <v>208</v>
      </c>
      <c r="T11" s="148" t="n">
        <v>1170</v>
      </c>
      <c r="U11" s="152"/>
      <c r="V11" s="154"/>
      <c r="W11" s="154"/>
    </row>
    <row r="12" ht="24.75" customHeight="1">
      <c r="A12" s="156" t="n">
        <v>44405</v>
      </c>
      <c r="B12" s="157" t="s">
        <v>2409</v>
      </c>
      <c r="C12" s="157" t="s">
        <v>2410</v>
      </c>
      <c r="D12" s="158" t="s">
        <v>2411</v>
      </c>
      <c r="E12" s="157" t="n">
        <v>13000</v>
      </c>
      <c r="F12" s="159" t="n">
        <v>198</v>
      </c>
      <c r="G12" s="159" t="n">
        <v>11</v>
      </c>
      <c r="H12" s="159" t="n">
        <v>360</v>
      </c>
      <c r="I12" s="159" t="n">
        <v>7</v>
      </c>
      <c r="J12" s="160"/>
      <c r="K12" s="160"/>
      <c r="L12" s="160"/>
      <c r="M12" s="161" t="n">
        <v>204</v>
      </c>
      <c r="N12" s="159" t="n">
        <v>3</v>
      </c>
      <c r="O12" s="159" t="n">
        <v>0</v>
      </c>
      <c r="P12" s="159" t="n">
        <v>19000</v>
      </c>
      <c r="Q12" s="162" t="n">
        <v>56000</v>
      </c>
      <c r="R12" s="159" t="n">
        <v>0</v>
      </c>
      <c r="S12" s="159" t="n">
        <v>234</v>
      </c>
      <c r="T12" s="159" t="n">
        <v>1161</v>
      </c>
      <c r="U12" s="161" t="n">
        <f>SUM(E12,M12,Q12,S12,T12,R12)</f>
        <v>70599</v>
      </c>
      <c r="V12" s="154"/>
      <c r="W12" s="154"/>
    </row>
    <row r="13" ht="24.75" customHeight="1">
      <c r="A13" s="156" t="n">
        <v>44384</v>
      </c>
      <c r="B13" s="157" t="s">
        <v>2412</v>
      </c>
      <c r="C13" s="157" t="s">
        <v>2413</v>
      </c>
      <c r="D13" s="163" t="s">
        <v>2414</v>
      </c>
      <c r="E13" s="157" t="n">
        <v>4299</v>
      </c>
      <c r="F13" s="159" t="n">
        <v>38</v>
      </c>
      <c r="G13" s="159" t="n">
        <v>2</v>
      </c>
      <c r="H13" s="159" t="n">
        <v>66</v>
      </c>
      <c r="I13" s="159" t="n">
        <v>5</v>
      </c>
      <c r="J13" s="160"/>
      <c r="K13" s="160"/>
      <c r="L13" s="160"/>
      <c r="M13" s="161" t="n">
        <v>172</v>
      </c>
      <c r="N13" s="159" t="n">
        <v>1</v>
      </c>
      <c r="O13" s="159" t="n">
        <v>0</v>
      </c>
      <c r="P13" s="159" t="s">
        <v>2415</v>
      </c>
      <c r="Q13" s="159" t="s">
        <v>2416</v>
      </c>
      <c r="R13" s="159" t="s">
        <v>2417</v>
      </c>
      <c r="S13" s="159" t="n">
        <v>44</v>
      </c>
      <c r="T13" s="159" t="n">
        <v>714</v>
      </c>
      <c r="U13" s="159"/>
      <c r="V13" s="154"/>
      <c r="W13" s="154"/>
    </row>
    <row r="14" ht="24.75" customHeight="1">
      <c r="A14" s="156" t="n">
        <v>44383</v>
      </c>
      <c r="B14" s="157" t="s">
        <v>2418</v>
      </c>
      <c r="C14" s="157" t="s">
        <v>2419</v>
      </c>
      <c r="D14" s="164" t="s">
        <v>2420</v>
      </c>
      <c r="E14" s="157" t="n">
        <v>4004</v>
      </c>
      <c r="F14" s="159" t="n">
        <v>88</v>
      </c>
      <c r="G14" s="159" t="n">
        <v>4</v>
      </c>
      <c r="H14" s="159" t="n">
        <v>108</v>
      </c>
      <c r="I14" s="159" t="n">
        <v>5</v>
      </c>
      <c r="J14" s="160"/>
      <c r="K14" s="160"/>
      <c r="L14" s="160"/>
      <c r="M14" s="161" t="n">
        <v>1646</v>
      </c>
      <c r="N14" s="159" t="n">
        <v>24</v>
      </c>
      <c r="O14" s="159" t="n">
        <v>4</v>
      </c>
      <c r="P14" s="159" t="s">
        <v>2421</v>
      </c>
      <c r="Q14" s="159" t="s">
        <v>2422</v>
      </c>
      <c r="R14" s="159" t="s">
        <v>2423</v>
      </c>
      <c r="S14" s="159" t="n">
        <v>526</v>
      </c>
      <c r="T14" s="159" t="n">
        <v>1145</v>
      </c>
      <c r="U14" s="159"/>
      <c r="V14" s="154"/>
      <c r="W14" s="154"/>
    </row>
    <row r="15" ht="24.75" customHeight="1">
      <c r="A15" s="156" t="n">
        <v>44382</v>
      </c>
      <c r="B15" s="157" t="s">
        <v>2424</v>
      </c>
      <c r="C15" s="157" t="s">
        <v>2425</v>
      </c>
      <c r="D15" s="164" t="s">
        <v>2426</v>
      </c>
      <c r="E15" s="157" t="n">
        <v>3306</v>
      </c>
      <c r="F15" s="159" t="n">
        <v>48</v>
      </c>
      <c r="G15" s="159" t="n">
        <v>1</v>
      </c>
      <c r="H15" s="159" t="n">
        <v>65</v>
      </c>
      <c r="I15" s="159" t="n">
        <v>7</v>
      </c>
      <c r="J15" s="160"/>
      <c r="K15" s="160"/>
      <c r="L15" s="160"/>
      <c r="M15" s="161" t="n">
        <v>438</v>
      </c>
      <c r="N15" s="159" t="n">
        <v>4</v>
      </c>
      <c r="O15" s="159" t="n">
        <v>0</v>
      </c>
      <c r="P15" s="159" t="s">
        <v>2427</v>
      </c>
      <c r="Q15" s="159" t="s">
        <v>2428</v>
      </c>
      <c r="R15" s="159" t="s">
        <v>2429</v>
      </c>
      <c r="S15" s="159" t="n">
        <v>575</v>
      </c>
      <c r="T15" s="159" t="n">
        <v>1159</v>
      </c>
      <c r="U15" s="159"/>
      <c r="V15" s="154"/>
      <c r="W15" s="154"/>
    </row>
    <row r="16" ht="24.75" customHeight="1">
      <c r="A16" s="156" t="n">
        <v>44379</v>
      </c>
      <c r="B16" s="157" t="s">
        <v>2430</v>
      </c>
      <c r="C16" s="157" t="s">
        <v>2431</v>
      </c>
      <c r="D16" s="165" t="s">
        <v>2432</v>
      </c>
      <c r="E16" s="157" t="n">
        <v>4647</v>
      </c>
      <c r="F16" s="159" t="n">
        <v>74</v>
      </c>
      <c r="G16" s="159" t="n">
        <v>1</v>
      </c>
      <c r="H16" s="159" t="n">
        <v>71</v>
      </c>
      <c r="I16" s="159" t="n">
        <v>4</v>
      </c>
      <c r="J16" s="160"/>
      <c r="K16" s="160"/>
      <c r="L16" s="160"/>
      <c r="M16" s="161" t="n">
        <v>223</v>
      </c>
      <c r="N16" s="159" t="n">
        <v>6</v>
      </c>
      <c r="O16" s="159" t="n">
        <v>0</v>
      </c>
      <c r="P16" s="159" t="s">
        <v>2433</v>
      </c>
      <c r="Q16" s="159" t="s">
        <v>2434</v>
      </c>
      <c r="R16" s="159" t="s">
        <v>2435</v>
      </c>
      <c r="S16" s="159" t="n">
        <v>46</v>
      </c>
      <c r="T16" s="159" t="n">
        <v>1281</v>
      </c>
      <c r="U16" s="159"/>
      <c r="V16" s="154"/>
      <c r="W16" s="154"/>
    </row>
    <row r="17" ht="24.75" customHeight="1">
      <c r="A17" s="156" t="n">
        <v>44376</v>
      </c>
      <c r="B17" s="157" t="s">
        <v>2436</v>
      </c>
      <c r="C17" s="157" t="s">
        <v>2437</v>
      </c>
      <c r="D17" s="165" t="s">
        <v>2438</v>
      </c>
      <c r="E17" s="157" t="n">
        <v>33000</v>
      </c>
      <c r="F17" s="159" t="n">
        <v>295</v>
      </c>
      <c r="G17" s="159" t="n">
        <v>13</v>
      </c>
      <c r="H17" s="159" t="n">
        <v>292</v>
      </c>
      <c r="I17" s="159" t="n">
        <v>11</v>
      </c>
      <c r="J17" s="160"/>
      <c r="K17" s="160"/>
      <c r="L17" s="160"/>
      <c r="M17" s="161" t="n">
        <v>293</v>
      </c>
      <c r="N17" s="159" t="n">
        <v>5</v>
      </c>
      <c r="O17" s="159" t="n">
        <v>1</v>
      </c>
      <c r="P17" s="159" t="n">
        <v>12000</v>
      </c>
      <c r="Q17" s="159" t="n">
        <v>2522</v>
      </c>
      <c r="R17" s="159" t="n">
        <v>0</v>
      </c>
      <c r="S17" s="159" t="s">
        <v>2439</v>
      </c>
      <c r="T17" s="159" t="n">
        <v>955</v>
      </c>
      <c r="U17" s="159"/>
      <c r="V17" s="154"/>
      <c r="W17" s="154"/>
    </row>
    <row r="18" ht="24.75" customHeight="1">
      <c r="A18" s="156" t="n">
        <v>44364</v>
      </c>
      <c r="B18" s="157" t="s">
        <v>2440</v>
      </c>
      <c r="C18" s="157" t="s">
        <v>2441</v>
      </c>
      <c r="D18" s="165" t="s">
        <v>2442</v>
      </c>
      <c r="E18" s="157" t="n">
        <v>36000</v>
      </c>
      <c r="F18" s="159" t="n">
        <v>898</v>
      </c>
      <c r="G18" s="159" t="n">
        <v>30</v>
      </c>
      <c r="H18" s="159" t="n">
        <v>1174</v>
      </c>
      <c r="I18" s="159" t="n">
        <v>34</v>
      </c>
      <c r="J18" s="160"/>
      <c r="K18" s="160"/>
      <c r="L18" s="160"/>
      <c r="M18" s="161" t="n">
        <v>6054</v>
      </c>
      <c r="N18" s="159" t="n">
        <v>40</v>
      </c>
      <c r="O18" s="159" t="n">
        <v>19</v>
      </c>
      <c r="P18" s="159" t="n">
        <v>15000</v>
      </c>
      <c r="Q18" s="159" t="n">
        <v>2849</v>
      </c>
      <c r="R18" s="159" t="n">
        <v>21</v>
      </c>
      <c r="S18" s="159" t="n">
        <v>125</v>
      </c>
      <c r="T18" s="159" t="n">
        <v>874</v>
      </c>
      <c r="U18" s="159" t="s">
        <f>SUM(E18,#REF!,S18,T18)</f>
        <v>2443</v>
      </c>
      <c r="V18" s="154"/>
      <c r="W18" s="80"/>
    </row>
    <row r="19" ht="24.75" customHeight="1">
      <c r="A19" s="156" t="n">
        <v>44345</v>
      </c>
      <c r="B19" s="157" t="s">
        <v>2444</v>
      </c>
      <c r="C19" s="157" t="s">
        <v>2445</v>
      </c>
      <c r="D19" s="166" t="s">
        <v>2446</v>
      </c>
      <c r="E19" s="157" t="n">
        <v>1256</v>
      </c>
      <c r="F19" s="159" t="n">
        <v>32</v>
      </c>
      <c r="G19" s="159" t="n">
        <v>2</v>
      </c>
      <c r="H19" s="159" t="n">
        <v>16</v>
      </c>
      <c r="I19" s="159" t="n">
        <v>0</v>
      </c>
      <c r="J19" s="167"/>
      <c r="K19" s="167"/>
      <c r="L19" s="167"/>
      <c r="M19" s="159" t="s">
        <v>2447</v>
      </c>
      <c r="N19" s="159"/>
      <c r="O19" s="159"/>
      <c r="P19" s="159" t="s">
        <v>2448</v>
      </c>
      <c r="Q19" s="159" t="s">
        <v>2449</v>
      </c>
      <c r="R19" s="159" t="s">
        <v>2450</v>
      </c>
      <c r="S19" s="168"/>
      <c r="T19" s="168"/>
      <c r="U19" s="168"/>
      <c r="V19" s="154"/>
      <c r="W19" s="80"/>
    </row>
    <row r="20" ht="24.75" customHeight="1">
      <c r="A20" s="156" t="n">
        <v>44345</v>
      </c>
      <c r="B20" s="157" t="s">
        <v>2451</v>
      </c>
      <c r="C20" s="157" t="s">
        <v>2452</v>
      </c>
      <c r="D20" s="169" t="s">
        <v>2453</v>
      </c>
      <c r="E20" s="157" t="n">
        <v>18000</v>
      </c>
      <c r="F20" s="159" t="n">
        <v>5006</v>
      </c>
      <c r="G20" s="159" t="n">
        <v>8</v>
      </c>
      <c r="H20" s="159" t="n">
        <v>151</v>
      </c>
      <c r="I20" s="159" t="n">
        <v>32</v>
      </c>
      <c r="J20" s="167"/>
      <c r="K20" s="167"/>
      <c r="L20" s="167"/>
      <c r="M20" s="159" t="n">
        <v>360</v>
      </c>
      <c r="N20" s="170" t="n">
        <v>6</v>
      </c>
      <c r="O20" s="170" t="n">
        <v>0</v>
      </c>
      <c r="P20" s="159" t="n">
        <v>16000</v>
      </c>
      <c r="Q20" s="159" t="n">
        <v>3308</v>
      </c>
      <c r="R20" s="159" t="n">
        <v>118</v>
      </c>
      <c r="S20" s="159"/>
      <c r="T20" s="159"/>
      <c r="U20" s="159" t="n">
        <v>41249</v>
      </c>
      <c r="V20" s="154"/>
      <c r="W20" s="80"/>
    </row>
    <row r="21" ht="24.75" customHeight="1">
      <c r="A21" s="156" t="n">
        <v>44340</v>
      </c>
      <c r="B21" s="157" t="s">
        <v>2454</v>
      </c>
      <c r="C21" s="157" t="s">
        <v>2455</v>
      </c>
      <c r="D21" s="171" t="s">
        <v>2456</v>
      </c>
      <c r="E21" s="157" t="n">
        <v>29000</v>
      </c>
      <c r="F21" s="159" t="n">
        <v>702</v>
      </c>
      <c r="G21" s="159" t="n">
        <v>35</v>
      </c>
      <c r="H21" s="159" t="n">
        <v>758</v>
      </c>
      <c r="I21" s="159" t="n">
        <v>35</v>
      </c>
      <c r="J21" s="167"/>
      <c r="K21" s="167"/>
      <c r="L21" s="167"/>
      <c r="M21" s="159" t="n">
        <v>929</v>
      </c>
      <c r="N21" s="170" t="n">
        <v>19</v>
      </c>
      <c r="O21" s="170" t="n">
        <v>0</v>
      </c>
      <c r="P21" s="159" t="n">
        <v>0</v>
      </c>
      <c r="Q21" s="159" t="n">
        <v>0</v>
      </c>
      <c r="R21" s="159" t="n">
        <v>4157</v>
      </c>
      <c r="S21" s="159"/>
      <c r="T21" s="159"/>
      <c r="U21" s="159" t="n">
        <v>42492</v>
      </c>
      <c r="V21" s="154"/>
      <c r="W21" s="80"/>
    </row>
    <row r="22" ht="24.75" customHeight="1">
      <c r="A22" s="156" t="n">
        <v>44329</v>
      </c>
      <c r="B22" s="157" t="s">
        <v>2457</v>
      </c>
      <c r="C22" s="157" t="s">
        <v>2458</v>
      </c>
      <c r="D22" s="168" t="s">
        <v>2459</v>
      </c>
      <c r="E22" s="157" t="n">
        <v>5567</v>
      </c>
      <c r="F22" s="159" t="n">
        <v>81</v>
      </c>
      <c r="G22" s="159" t="n">
        <v>3</v>
      </c>
      <c r="H22" s="159" t="n">
        <v>114</v>
      </c>
      <c r="I22" s="159" t="n">
        <v>1</v>
      </c>
      <c r="J22" s="167"/>
      <c r="K22" s="167"/>
      <c r="L22" s="167"/>
      <c r="M22" s="159" t="n">
        <v>2362</v>
      </c>
      <c r="N22" s="159" t="n">
        <v>18</v>
      </c>
      <c r="O22" s="159" t="n">
        <v>3</v>
      </c>
      <c r="P22" s="159" t="n">
        <v>13000</v>
      </c>
      <c r="Q22" s="159" t="n">
        <v>3582</v>
      </c>
      <c r="R22" s="159" t="n">
        <v>3059</v>
      </c>
      <c r="S22" s="159"/>
      <c r="T22" s="159"/>
      <c r="U22" s="159" t="n">
        <v>13356</v>
      </c>
      <c r="V22" s="154"/>
      <c r="W22" s="80"/>
    </row>
    <row r="23" ht="24.75" customHeight="1">
      <c r="A23" s="172" t="n">
        <v>44305</v>
      </c>
      <c r="B23" s="170" t="s">
        <v>2460</v>
      </c>
      <c r="C23" s="170" t="s">
        <v>2461</v>
      </c>
      <c r="D23" s="173" t="s">
        <v>2462</v>
      </c>
      <c r="E23" s="170" t="n">
        <v>40000</v>
      </c>
      <c r="F23" s="170" t="n">
        <v>989</v>
      </c>
      <c r="G23" s="170" t="n">
        <v>25</v>
      </c>
      <c r="H23" s="170" t="n">
        <v>804</v>
      </c>
      <c r="I23" s="170" t="n">
        <v>55</v>
      </c>
      <c r="J23" s="174"/>
      <c r="K23" s="174"/>
      <c r="L23" s="174"/>
      <c r="M23" s="170" t="n">
        <v>553</v>
      </c>
      <c r="N23" s="159"/>
      <c r="O23" s="159"/>
      <c r="P23" s="170" t="n">
        <v>20000</v>
      </c>
      <c r="Q23" s="170" t="n">
        <v>4448</v>
      </c>
      <c r="R23" s="170"/>
      <c r="S23" s="170"/>
      <c r="T23" s="170"/>
      <c r="U23" s="170" t="n">
        <v>35001</v>
      </c>
      <c r="V23" s="80"/>
      <c r="W23" s="80"/>
    </row>
    <row r="24" ht="24.75" customHeight="1">
      <c r="A24" s="172" t="n">
        <v>44281</v>
      </c>
      <c r="B24" s="170" t="s">
        <v>2463</v>
      </c>
      <c r="C24" s="170" t="s">
        <v>2464</v>
      </c>
      <c r="D24" s="173" t="s">
        <v>2465</v>
      </c>
      <c r="E24" s="170" t="n">
        <v>24000</v>
      </c>
      <c r="F24" s="170" t="n">
        <v>523</v>
      </c>
      <c r="G24" s="170" t="n">
        <v>32</v>
      </c>
      <c r="H24" s="170" t="n">
        <v>450</v>
      </c>
      <c r="I24" s="170" t="n">
        <v>27</v>
      </c>
      <c r="J24" s="174"/>
      <c r="K24" s="174"/>
      <c r="L24" s="174"/>
      <c r="M24" s="170" t="n">
        <v>804</v>
      </c>
      <c r="N24" s="159"/>
      <c r="O24" s="159"/>
      <c r="P24" s="170" t="n">
        <v>23000</v>
      </c>
      <c r="Q24" s="170" t="n">
        <v>5621</v>
      </c>
      <c r="R24" s="170"/>
      <c r="S24" s="170"/>
      <c r="T24" s="170"/>
      <c r="U24" s="170" t="n">
        <v>32080</v>
      </c>
      <c r="V24" s="80"/>
      <c r="W24" s="80"/>
    </row>
    <row r="25" ht="24.75" customHeight="1">
      <c r="A25" s="175" t="s">
        <v>2466</v>
      </c>
      <c r="B25" s="176" t="s">
        <v>2467</v>
      </c>
      <c r="C25" s="176" t="s">
        <v>2468</v>
      </c>
      <c r="D25" s="177" t="s">
        <v>2469</v>
      </c>
      <c r="E25" s="178" t="n">
        <v>4523</v>
      </c>
      <c r="F25" s="179" t="n">
        <v>84</v>
      </c>
      <c r="G25" s="179" t="n">
        <v>22</v>
      </c>
      <c r="H25" s="179" t="n">
        <v>126</v>
      </c>
      <c r="I25" s="179" t="n">
        <v>13</v>
      </c>
      <c r="J25" s="180"/>
      <c r="K25" s="180"/>
      <c r="L25" s="180"/>
      <c r="M25" s="176" t="n">
        <v>374</v>
      </c>
      <c r="N25" s="170"/>
      <c r="O25" s="170"/>
      <c r="P25" s="176" t="n">
        <v>11000</v>
      </c>
      <c r="Q25" s="176" t="n">
        <v>2931</v>
      </c>
      <c r="R25" s="176"/>
      <c r="S25" s="176"/>
      <c r="T25" s="176"/>
      <c r="U25" s="181" t="n">
        <f>SUM(R25,Q25,N25,E25)</f>
        <v>7454</v>
      </c>
    </row>
    <row r="26" ht="26.25" customHeight="1">
      <c r="A26" s="175" t="s">
        <v>2470</v>
      </c>
      <c r="B26" s="176" t="s">
        <v>2471</v>
      </c>
      <c r="C26" s="176" t="s">
        <v>2472</v>
      </c>
      <c r="D26" s="177" t="s">
        <v>2473</v>
      </c>
      <c r="E26" s="178" t="n">
        <v>5567</v>
      </c>
      <c r="F26" s="179" t="n">
        <v>122</v>
      </c>
      <c r="G26" s="179" t="n">
        <v>15</v>
      </c>
      <c r="H26" s="179" t="n">
        <v>114</v>
      </c>
      <c r="I26" s="179" t="n">
        <v>16</v>
      </c>
      <c r="J26" s="180"/>
      <c r="K26" s="180"/>
      <c r="L26" s="180"/>
      <c r="M26" s="176" t="n">
        <v>366</v>
      </c>
      <c r="N26" s="170"/>
      <c r="O26" s="170"/>
      <c r="P26" s="176" t="n">
        <v>17000</v>
      </c>
      <c r="Q26" s="176" t="n">
        <v>6119</v>
      </c>
      <c r="R26" s="182"/>
      <c r="S26" s="176"/>
      <c r="T26" s="176"/>
      <c r="U26" s="181" t="n">
        <f>SUM(R26,Q26,N26,E26)</f>
        <v>11686</v>
      </c>
    </row>
    <row r="27" ht="24.75" customHeight="1">
      <c r="A27" s="175" t="s">
        <v>2474</v>
      </c>
      <c r="B27" s="176" t="s">
        <v>2475</v>
      </c>
      <c r="C27" s="176" t="s">
        <v>2476</v>
      </c>
      <c r="D27" s="177" t="s">
        <v>2477</v>
      </c>
      <c r="E27" s="178" t="n">
        <v>2921</v>
      </c>
      <c r="F27" s="179" t="n">
        <v>65</v>
      </c>
      <c r="G27" s="179" t="n">
        <v>8</v>
      </c>
      <c r="H27" s="179" t="n">
        <v>45</v>
      </c>
      <c r="I27" s="179" t="n">
        <v>2</v>
      </c>
      <c r="J27" s="180"/>
      <c r="K27" s="180"/>
      <c r="L27" s="180"/>
      <c r="M27" s="176" t="n">
        <v>152</v>
      </c>
      <c r="N27" s="176"/>
      <c r="O27" s="176"/>
      <c r="P27" s="176" t="n">
        <v>12000</v>
      </c>
      <c r="Q27" s="176" t="n">
        <v>3315</v>
      </c>
      <c r="R27" s="182"/>
      <c r="S27" s="176"/>
      <c r="T27" s="176"/>
      <c r="U27" s="181" t="n">
        <f>SUM(R27,Q27,N27,E27)</f>
        <v>6236</v>
      </c>
    </row>
    <row r="28" ht="43.5" customHeight="1">
      <c r="A28" s="175" t="s">
        <v>2478</v>
      </c>
      <c r="B28" s="176" t="s">
        <v>2479</v>
      </c>
      <c r="C28" s="176" t="s">
        <v>2480</v>
      </c>
      <c r="D28" s="177" t="s">
        <v>2481</v>
      </c>
      <c r="E28" s="178" t="n">
        <v>2141</v>
      </c>
      <c r="F28" s="179" t="n">
        <v>75</v>
      </c>
      <c r="G28" s="179" t="n">
        <v>5</v>
      </c>
      <c r="H28" s="179" t="n">
        <v>57</v>
      </c>
      <c r="I28" s="179" t="n">
        <v>0</v>
      </c>
      <c r="J28" s="180"/>
      <c r="K28" s="180"/>
      <c r="L28" s="180"/>
      <c r="M28" s="176" t="n">
        <v>882</v>
      </c>
      <c r="N28" s="176"/>
      <c r="O28" s="176"/>
      <c r="P28" s="176" t="n">
        <v>16000</v>
      </c>
      <c r="Q28" s="176" t="n">
        <v>3837</v>
      </c>
      <c r="R28" s="182"/>
      <c r="S28" s="176"/>
      <c r="T28" s="176"/>
      <c r="U28" s="181" t="n">
        <f>SUM(R28,Q28,N28,E28)</f>
        <v>5978</v>
      </c>
    </row>
    <row r="29" ht="71.25" customHeight="1">
      <c r="A29" s="176" t="s">
        <v>2482</v>
      </c>
      <c r="B29" s="176" t="s">
        <v>2483</v>
      </c>
      <c r="C29" s="176" t="s">
        <v>2484</v>
      </c>
      <c r="D29" s="177" t="s">
        <v>2485</v>
      </c>
      <c r="E29" s="178" t="n">
        <v>1523</v>
      </c>
      <c r="F29" s="179" t="n">
        <v>39</v>
      </c>
      <c r="G29" s="179" t="n">
        <v>2</v>
      </c>
      <c r="H29" s="179" t="n">
        <v>26</v>
      </c>
      <c r="I29" s="179" t="n">
        <v>3</v>
      </c>
      <c r="J29" s="180"/>
      <c r="K29" s="180"/>
      <c r="L29" s="180"/>
      <c r="M29" s="176" t="n">
        <v>960</v>
      </c>
      <c r="N29" s="176"/>
      <c r="O29" s="176"/>
      <c r="P29" s="176" t="n">
        <v>37000</v>
      </c>
      <c r="Q29" s="176" t="n">
        <v>6109</v>
      </c>
      <c r="R29" s="176"/>
      <c r="S29" s="176"/>
      <c r="T29" s="176"/>
      <c r="U29" s="181" t="n">
        <f>SUM(R29,Q29,N29,E29)</f>
        <v>7632</v>
      </c>
    </row>
    <row r="30" ht="63.75" customHeight="1">
      <c r="A30" s="176" t="s">
        <v>2486</v>
      </c>
      <c r="B30" s="176" t="s">
        <v>2487</v>
      </c>
      <c r="C30" s="176" t="s">
        <v>2488</v>
      </c>
      <c r="D30" s="177" t="s">
        <v>2489</v>
      </c>
      <c r="E30" s="178" t="n">
        <v>2523</v>
      </c>
      <c r="F30" s="179" t="n">
        <v>89</v>
      </c>
      <c r="G30" s="179" t="n">
        <v>0</v>
      </c>
      <c r="H30" s="179" t="n">
        <v>57</v>
      </c>
      <c r="I30" s="179" t="n">
        <v>0</v>
      </c>
      <c r="J30" s="180"/>
      <c r="K30" s="180"/>
      <c r="L30" s="180"/>
      <c r="M30" s="176" t="n">
        <v>874</v>
      </c>
      <c r="N30" s="176"/>
      <c r="O30" s="176"/>
      <c r="P30" s="176" t="n">
        <v>26000</v>
      </c>
      <c r="Q30" s="176" t="n">
        <v>6297</v>
      </c>
      <c r="R30" s="176"/>
      <c r="S30" s="176"/>
      <c r="T30" s="176"/>
      <c r="U30" s="181" t="n">
        <f>SUM(R30,Q30,N30,E30)</f>
        <v>8820</v>
      </c>
    </row>
    <row r="31">
      <c r="A31" s="176" t="s">
        <v>2490</v>
      </c>
      <c r="B31" s="176" t="s">
        <v>2491</v>
      </c>
      <c r="C31" s="176" t="s">
        <v>2492</v>
      </c>
      <c r="D31" s="177" t="s">
        <v>2493</v>
      </c>
      <c r="E31" s="178" t="n">
        <v>1902</v>
      </c>
      <c r="F31" s="179" t="n">
        <v>29</v>
      </c>
      <c r="G31" s="179" t="n">
        <v>2</v>
      </c>
      <c r="H31" s="179" t="n">
        <v>22</v>
      </c>
      <c r="I31" s="179" t="n">
        <v>2</v>
      </c>
      <c r="J31" s="180"/>
      <c r="K31" s="180"/>
      <c r="L31" s="180"/>
      <c r="M31" s="176" t="n">
        <v>735</v>
      </c>
      <c r="N31" s="176"/>
      <c r="O31" s="176"/>
      <c r="P31" s="176" t="n">
        <v>30000</v>
      </c>
      <c r="Q31" s="176" t="n">
        <v>6359</v>
      </c>
      <c r="R31" s="176"/>
      <c r="S31" s="176"/>
      <c r="T31" s="176"/>
      <c r="U31" s="181" t="n">
        <f>SUM(R31,Q31,N31,E31)</f>
        <v>8261</v>
      </c>
    </row>
    <row r="32">
      <c r="A32" s="176" t="s">
        <v>2494</v>
      </c>
      <c r="B32" s="176" t="s">
        <v>2495</v>
      </c>
      <c r="C32" s="176" t="s">
        <v>2496</v>
      </c>
      <c r="D32" s="177" t="s">
        <v>2497</v>
      </c>
      <c r="E32" s="178" t="n">
        <v>2325</v>
      </c>
      <c r="F32" s="179" t="n">
        <v>83</v>
      </c>
      <c r="G32" s="179" t="n">
        <v>0</v>
      </c>
      <c r="H32" s="179" t="n">
        <v>65</v>
      </c>
      <c r="I32" s="179" t="n">
        <v>0</v>
      </c>
      <c r="J32" s="180"/>
      <c r="K32" s="180"/>
      <c r="L32" s="180"/>
      <c r="M32" s="176" t="n">
        <v>336</v>
      </c>
      <c r="N32" s="176"/>
      <c r="O32" s="176"/>
      <c r="P32" s="176" t="n">
        <v>11000</v>
      </c>
      <c r="Q32" s="176" t="n">
        <v>3041</v>
      </c>
      <c r="R32" s="176"/>
      <c r="S32" s="176"/>
      <c r="T32" s="176"/>
      <c r="U32" s="181" t="n">
        <f>SUM(R32,Q32,N32,E32)</f>
        <v>5366</v>
      </c>
    </row>
    <row r="33">
      <c r="A33" s="176" t="s">
        <v>2498</v>
      </c>
      <c r="B33" s="176" t="s">
        <v>2499</v>
      </c>
      <c r="C33" s="176" t="s">
        <v>2500</v>
      </c>
      <c r="D33" s="177" t="s">
        <v>2501</v>
      </c>
      <c r="E33" s="178" t="n">
        <v>1377</v>
      </c>
      <c r="F33" s="179" t="n">
        <v>28</v>
      </c>
      <c r="G33" s="179" t="n">
        <v>1</v>
      </c>
      <c r="H33" s="179" t="n">
        <v>19</v>
      </c>
      <c r="I33" s="179" t="n">
        <v>1</v>
      </c>
      <c r="J33" s="180"/>
      <c r="K33" s="180"/>
      <c r="L33" s="180"/>
      <c r="M33" s="176" t="n">
        <v>666</v>
      </c>
      <c r="N33" s="176"/>
      <c r="O33" s="176"/>
      <c r="P33" s="176" t="n">
        <v>35000</v>
      </c>
      <c r="Q33" s="176" t="n">
        <v>5905</v>
      </c>
      <c r="R33" s="176"/>
      <c r="S33" s="176"/>
      <c r="T33" s="176"/>
      <c r="U33" s="181" t="n">
        <f>SUM(R33,Q33,N33,E33)</f>
        <v>7282</v>
      </c>
    </row>
    <row r="34">
      <c r="A34" s="176" t="s">
        <v>2502</v>
      </c>
      <c r="B34" s="176" t="s">
        <v>2503</v>
      </c>
      <c r="C34" s="176" t="s">
        <v>2504</v>
      </c>
      <c r="D34" s="177" t="s">
        <v>2505</v>
      </c>
      <c r="E34" s="178" t="n">
        <v>1457</v>
      </c>
      <c r="F34" s="179" t="n">
        <v>24</v>
      </c>
      <c r="G34" s="179" t="n">
        <v>2</v>
      </c>
      <c r="H34" s="179" t="n">
        <v>15</v>
      </c>
      <c r="I34" s="179" t="n">
        <v>1</v>
      </c>
      <c r="J34" s="180"/>
      <c r="K34" s="180"/>
      <c r="L34" s="180"/>
      <c r="M34" s="176" t="n">
        <v>492</v>
      </c>
      <c r="N34" s="176"/>
      <c r="O34" s="176"/>
      <c r="P34" s="176" t="n">
        <v>22000</v>
      </c>
      <c r="Q34" s="176" t="n">
        <v>5938</v>
      </c>
      <c r="R34" s="176"/>
      <c r="S34" s="176"/>
      <c r="T34" s="176"/>
      <c r="U34" s="181" t="n">
        <f>SUM(R34,Q34,N34,E34)</f>
        <v>7395</v>
      </c>
    </row>
    <row r="35" ht="37.5" customHeight="1">
      <c r="A35" s="176" t="s">
        <v>2506</v>
      </c>
      <c r="B35" s="176" t="s">
        <v>2507</v>
      </c>
      <c r="C35" s="176" t="s">
        <v>2508</v>
      </c>
      <c r="D35" s="177" t="s">
        <v>2509</v>
      </c>
      <c r="E35" s="178" t="n">
        <v>2054</v>
      </c>
      <c r="F35" s="179" t="n">
        <v>53</v>
      </c>
      <c r="G35" s="179" t="n">
        <v>0</v>
      </c>
      <c r="H35" s="179" t="n">
        <v>52</v>
      </c>
      <c r="I35" s="179" t="n">
        <v>1</v>
      </c>
      <c r="J35" s="180"/>
      <c r="K35" s="180"/>
      <c r="L35" s="180"/>
      <c r="M35" s="176" t="n">
        <v>354</v>
      </c>
      <c r="N35" s="176"/>
      <c r="O35" s="176"/>
      <c r="P35" s="176" t="n">
        <v>44000</v>
      </c>
      <c r="Q35" s="176" t="n">
        <v>5470</v>
      </c>
      <c r="R35" s="176"/>
      <c r="S35" s="176"/>
      <c r="T35" s="176"/>
      <c r="U35" s="181" t="n">
        <f>SUM(R35,Q35,N35,E35)</f>
        <v>7524</v>
      </c>
    </row>
    <row r="36">
      <c r="A36" s="176" t="s">
        <v>2510</v>
      </c>
      <c r="B36" s="176" t="s">
        <v>2511</v>
      </c>
      <c r="C36" s="176" t="s">
        <v>2512</v>
      </c>
      <c r="D36" s="177" t="s">
        <v>2513</v>
      </c>
      <c r="E36" s="178" t="n">
        <v>3048</v>
      </c>
      <c r="F36" s="179" t="n">
        <v>75</v>
      </c>
      <c r="G36" s="179" t="n">
        <v>3</v>
      </c>
      <c r="H36" s="179" t="n">
        <v>33</v>
      </c>
      <c r="I36" s="179" t="n">
        <v>4</v>
      </c>
      <c r="J36" s="180"/>
      <c r="K36" s="180"/>
      <c r="L36" s="180"/>
      <c r="M36" s="176" t="n">
        <v>244</v>
      </c>
      <c r="N36" s="176"/>
      <c r="O36" s="176"/>
      <c r="P36" s="176" t="n">
        <v>3</v>
      </c>
      <c r="Q36" s="176" t="n">
        <v>2</v>
      </c>
      <c r="R36" s="176"/>
      <c r="S36" s="176"/>
      <c r="T36" s="176"/>
      <c r="U36" s="181" t="n">
        <f>SUM(R36,Q36,N36,E36)</f>
        <v>3050</v>
      </c>
    </row>
    <row r="37">
      <c r="A37" s="176" t="s">
        <v>2514</v>
      </c>
      <c r="B37" s="176" t="s">
        <v>2515</v>
      </c>
      <c r="C37" s="176" t="s">
        <v>2516</v>
      </c>
      <c r="D37" s="177" t="s">
        <v>2517</v>
      </c>
      <c r="E37" s="178" t="n">
        <v>2298</v>
      </c>
      <c r="F37" s="179" t="n">
        <v>70</v>
      </c>
      <c r="G37" s="179" t="n">
        <v>10</v>
      </c>
      <c r="H37" s="179" t="n">
        <v>32</v>
      </c>
      <c r="I37" s="179" t="n">
        <v>0</v>
      </c>
      <c r="J37" s="180"/>
      <c r="K37" s="180"/>
      <c r="L37" s="180"/>
      <c r="M37" s="176" t="n">
        <v>206</v>
      </c>
      <c r="N37" s="176"/>
      <c r="O37" s="176"/>
      <c r="P37" s="176" t="n">
        <v>11000</v>
      </c>
      <c r="Q37" s="176" t="n">
        <v>2719</v>
      </c>
      <c r="R37" s="176"/>
      <c r="S37" s="176"/>
      <c r="T37" s="176"/>
      <c r="U37" s="181" t="n">
        <f>SUM(R37,Q37,N37,E37)</f>
        <v>5017</v>
      </c>
    </row>
    <row r="38">
      <c r="A38" s="176" t="s">
        <v>2518</v>
      </c>
      <c r="B38" s="176" t="s">
        <v>2519</v>
      </c>
      <c r="C38" s="176" t="s">
        <v>2520</v>
      </c>
      <c r="D38" s="177" t="s">
        <v>2521</v>
      </c>
      <c r="E38" s="178" t="n">
        <v>1106</v>
      </c>
      <c r="F38" s="179" t="n">
        <v>35</v>
      </c>
      <c r="G38" s="179" t="n">
        <v>6</v>
      </c>
      <c r="H38" s="179" t="n">
        <v>9</v>
      </c>
      <c r="I38" s="179" t="n">
        <v>2</v>
      </c>
      <c r="J38" s="180"/>
      <c r="K38" s="180"/>
      <c r="L38" s="180"/>
      <c r="M38" s="176" t="n">
        <v>276</v>
      </c>
      <c r="N38" s="176"/>
      <c r="O38" s="176"/>
      <c r="P38" s="176" t="n">
        <v>46000</v>
      </c>
      <c r="Q38" s="176" t="n">
        <v>125</v>
      </c>
      <c r="R38" s="176"/>
      <c r="S38" s="176"/>
      <c r="T38" s="176"/>
      <c r="U38" s="181" t="n">
        <f>SUM(R38,Q38,N38,E38)</f>
        <v>1231</v>
      </c>
    </row>
    <row r="39">
      <c r="A39" s="176" t="s">
        <v>2522</v>
      </c>
      <c r="B39" s="176" t="s">
        <v>2523</v>
      </c>
      <c r="C39" s="176" t="s">
        <v>2524</v>
      </c>
      <c r="D39" s="177" t="s">
        <v>2525</v>
      </c>
      <c r="E39" s="182" t="n">
        <v>1320</v>
      </c>
      <c r="F39" s="182" t="n">
        <v>32</v>
      </c>
      <c r="G39" s="182" t="n">
        <v>4</v>
      </c>
      <c r="H39" s="182" t="n">
        <v>18</v>
      </c>
      <c r="I39" s="182" t="n">
        <v>0</v>
      </c>
      <c r="J39" s="180"/>
      <c r="K39" s="180"/>
      <c r="L39" s="180"/>
      <c r="M39" s="176" t="n">
        <v>30</v>
      </c>
      <c r="N39" s="176"/>
      <c r="O39" s="176"/>
      <c r="P39" s="176" t="n">
        <v>69000</v>
      </c>
      <c r="Q39" s="176" t="n">
        <v>125</v>
      </c>
      <c r="R39" s="176"/>
      <c r="S39" s="176"/>
      <c r="T39" s="176"/>
      <c r="U39" s="176" t="n">
        <f>SUM(R39,Q39,N39,E39)</f>
        <v>1445</v>
      </c>
    </row>
    <row r="40">
      <c r="A40" s="176" t="s">
        <v>2526</v>
      </c>
      <c r="B40" s="176" t="s">
        <v>2527</v>
      </c>
      <c r="C40" s="176" t="s">
        <v>2528</v>
      </c>
      <c r="D40" s="177" t="s">
        <v>2529</v>
      </c>
      <c r="E40" s="182" t="n">
        <v>13000</v>
      </c>
      <c r="F40" s="182" t="n">
        <v>408</v>
      </c>
      <c r="G40" s="182" t="n">
        <v>14</v>
      </c>
      <c r="H40" s="182" t="n">
        <v>213</v>
      </c>
      <c r="I40" s="182" t="n">
        <v>24</v>
      </c>
      <c r="J40" s="180"/>
      <c r="K40" s="180"/>
      <c r="L40" s="180"/>
      <c r="M40" s="176" t="n">
        <v>164</v>
      </c>
      <c r="N40" s="176"/>
      <c r="O40" s="176"/>
      <c r="P40" s="176" t="n">
        <v>16000</v>
      </c>
      <c r="Q40" s="176" t="n">
        <v>4446</v>
      </c>
      <c r="R40" s="170"/>
      <c r="S40" s="176"/>
      <c r="T40" s="176"/>
      <c r="U40" s="176" t="n">
        <f>SUM(R40,Q40,N40,E40)</f>
        <v>17446</v>
      </c>
    </row>
    <row r="41">
      <c r="A41" s="183"/>
      <c r="B41" s="183"/>
      <c r="C41" s="183"/>
      <c r="D41" s="184"/>
      <c r="E41" s="183"/>
      <c r="F41" s="183"/>
      <c r="G41" s="183"/>
      <c r="H41" s="183"/>
      <c r="I41" s="183"/>
      <c r="J41" s="185"/>
      <c r="K41" s="185"/>
      <c r="L41" s="185"/>
      <c r="M41" s="183"/>
      <c r="N41" s="186"/>
      <c r="O41" s="186"/>
      <c r="P41" s="183"/>
      <c r="Q41" s="183"/>
      <c r="R41" s="183"/>
      <c r="S41" s="187"/>
      <c r="T41" s="187"/>
      <c r="U41" s="188" t="n">
        <f>SUM(U25:U40)</f>
        <v>111823</v>
      </c>
    </row>
    <row r="42">
      <c r="A42" s="189"/>
      <c r="B42" s="189"/>
      <c r="C42" s="189"/>
      <c r="D42" s="190"/>
      <c r="E42" s="189"/>
      <c r="F42" s="189"/>
      <c r="G42" s="189"/>
      <c r="H42" s="189"/>
      <c r="I42" s="189"/>
      <c r="J42" s="3"/>
      <c r="K42" s="3"/>
      <c r="L42" s="3"/>
      <c r="M42" s="189"/>
      <c r="N42" s="189"/>
      <c r="P42" s="189"/>
      <c r="Q42" s="189"/>
      <c r="R42" s="189"/>
    </row>
    <row r="43">
      <c r="A43" s="189"/>
      <c r="B43" s="189"/>
      <c r="C43" s="189"/>
      <c r="D43" s="190"/>
      <c r="E43" s="191"/>
      <c r="F43" s="189"/>
      <c r="G43" s="189"/>
      <c r="H43" s="189"/>
      <c r="I43" s="189"/>
      <c r="J43" s="3"/>
      <c r="K43" s="3"/>
      <c r="L43" s="3"/>
      <c r="M43" s="189"/>
      <c r="N43" s="189"/>
      <c r="P43" s="189"/>
      <c r="Q43" s="189"/>
      <c r="R43" s="189"/>
    </row>
    <row r="44">
      <c r="A44" s="189"/>
      <c r="B44" s="189"/>
      <c r="C44" s="189"/>
      <c r="D44" s="190"/>
      <c r="E44" s="189"/>
      <c r="F44" s="189"/>
      <c r="G44" s="189"/>
      <c r="H44" s="189"/>
      <c r="I44" s="189"/>
      <c r="J44" s="3"/>
      <c r="K44" s="3"/>
      <c r="L44" s="3"/>
      <c r="M44" s="189"/>
      <c r="N44" s="189"/>
      <c r="P44" s="189"/>
      <c r="Q44" s="189"/>
      <c r="R44" s="189"/>
    </row>
    <row r="45">
      <c r="A45" s="189"/>
      <c r="B45" s="189"/>
      <c r="C45" s="189"/>
      <c r="D45" s="190"/>
      <c r="E45" s="189"/>
      <c r="F45" s="189"/>
      <c r="G45" s="189"/>
      <c r="H45" s="189"/>
      <c r="I45" s="189"/>
      <c r="J45" s="3"/>
      <c r="K45" s="3"/>
      <c r="L45" s="3"/>
      <c r="M45" s="189"/>
      <c r="N45" s="189"/>
      <c r="P45" s="189"/>
      <c r="Q45" s="189"/>
      <c r="R45" s="189"/>
    </row>
    <row r="46">
      <c r="A46" s="189"/>
      <c r="B46" s="189"/>
      <c r="C46" s="189"/>
      <c r="D46" s="192"/>
      <c r="E46" s="189"/>
      <c r="F46" s="189"/>
      <c r="G46" s="189"/>
      <c r="H46" s="189"/>
      <c r="I46" s="189"/>
      <c r="J46" s="3"/>
      <c r="K46" s="3"/>
      <c r="L46" s="3"/>
      <c r="M46" s="189"/>
      <c r="N46" s="189"/>
      <c r="P46" s="189"/>
      <c r="Q46" s="189"/>
      <c r="R46" s="189"/>
    </row>
    <row r="47">
      <c r="A47" s="189"/>
      <c r="B47" s="189"/>
      <c r="C47" s="189"/>
      <c r="D47" s="190"/>
      <c r="E47" s="189"/>
      <c r="F47" s="189"/>
      <c r="G47" s="189"/>
      <c r="H47" s="189"/>
      <c r="I47" s="189"/>
      <c r="J47" s="3"/>
      <c r="K47" s="3"/>
      <c r="L47" s="3"/>
      <c r="M47" s="189"/>
      <c r="N47" s="189"/>
      <c r="P47" s="189"/>
      <c r="Q47" s="189"/>
      <c r="R47" s="189"/>
    </row>
    <row r="48">
      <c r="A48" s="189"/>
      <c r="B48" s="189"/>
      <c r="C48" s="189"/>
      <c r="D48" s="190"/>
      <c r="E48" s="189"/>
      <c r="F48" s="189"/>
      <c r="G48" s="189"/>
      <c r="H48" s="189"/>
      <c r="I48" s="189"/>
      <c r="J48" s="3"/>
      <c r="K48" s="3"/>
      <c r="L48" s="3"/>
      <c r="M48" s="189"/>
      <c r="N48" s="189"/>
      <c r="P48" s="189"/>
      <c r="Q48" s="189"/>
      <c r="R48" s="189"/>
    </row>
    <row r="49">
      <c r="A49" s="189"/>
      <c r="B49" s="189"/>
      <c r="C49" s="189"/>
      <c r="D49" s="190"/>
      <c r="E49" s="191"/>
      <c r="F49" s="189"/>
      <c r="G49" s="189"/>
      <c r="H49" s="189"/>
      <c r="I49" s="189"/>
      <c r="J49" s="3"/>
      <c r="K49" s="3"/>
      <c r="L49" s="3"/>
      <c r="M49" s="189"/>
      <c r="N49" s="189"/>
      <c r="P49" s="189"/>
      <c r="Q49" s="189"/>
      <c r="R49" s="189"/>
    </row>
    <row r="50">
      <c r="A50" s="189"/>
      <c r="B50" s="189"/>
      <c r="C50" s="189"/>
      <c r="D50" s="190"/>
      <c r="E50" s="189"/>
      <c r="F50" s="189"/>
      <c r="G50" s="189"/>
      <c r="H50" s="189"/>
      <c r="I50" s="189"/>
      <c r="J50" s="3"/>
      <c r="K50" s="3"/>
      <c r="L50" s="3"/>
      <c r="M50" s="189"/>
      <c r="N50" s="189"/>
      <c r="P50" s="189"/>
      <c r="Q50" s="189"/>
      <c r="R50" s="189"/>
    </row>
    <row r="51">
      <c r="A51" s="189"/>
      <c r="B51" s="189"/>
      <c r="C51" s="189"/>
      <c r="D51" s="190"/>
      <c r="E51" s="189"/>
      <c r="F51" s="189"/>
      <c r="G51" s="189"/>
      <c r="H51" s="189"/>
      <c r="I51" s="189"/>
      <c r="J51" s="3"/>
      <c r="K51" s="3"/>
      <c r="L51" s="3"/>
      <c r="M51" s="189"/>
      <c r="N51" s="189"/>
      <c r="P51" s="189"/>
      <c r="Q51" s="189"/>
      <c r="R51" s="189"/>
    </row>
    <row r="52">
      <c r="A52" s="189"/>
      <c r="B52" s="189"/>
      <c r="C52" s="189"/>
      <c r="D52" s="192"/>
      <c r="E52" s="189"/>
      <c r="F52" s="189"/>
      <c r="G52" s="189"/>
      <c r="H52" s="189"/>
      <c r="I52" s="189"/>
      <c r="J52" s="3"/>
      <c r="K52" s="3"/>
      <c r="L52" s="3"/>
      <c r="M52" s="189"/>
      <c r="N52" s="189"/>
      <c r="P52" s="189"/>
      <c r="Q52" s="189"/>
      <c r="R52" s="189"/>
    </row>
    <row r="53">
      <c r="A53" s="189"/>
      <c r="B53" s="189"/>
      <c r="C53" s="189"/>
      <c r="D53" s="190"/>
      <c r="E53" s="189"/>
      <c r="F53" s="189"/>
      <c r="G53" s="189"/>
      <c r="H53" s="189"/>
      <c r="I53" s="189"/>
      <c r="J53" s="3"/>
      <c r="K53" s="3"/>
      <c r="L53" s="3"/>
      <c r="M53" s="189"/>
      <c r="N53" s="189"/>
      <c r="P53" s="189"/>
      <c r="Q53" s="189"/>
      <c r="R53" s="189"/>
    </row>
    <row r="54">
      <c r="A54" s="189"/>
      <c r="B54" s="189"/>
      <c r="C54" s="189"/>
      <c r="D54" s="190"/>
      <c r="E54" s="189"/>
      <c r="F54" s="189"/>
      <c r="G54" s="189"/>
      <c r="H54" s="189"/>
      <c r="I54" s="189"/>
      <c r="J54" s="3"/>
      <c r="K54" s="3"/>
      <c r="L54" s="3"/>
      <c r="M54" s="189"/>
      <c r="N54" s="189"/>
      <c r="P54" s="189"/>
      <c r="Q54" s="189"/>
      <c r="R54" s="189"/>
    </row>
    <row r="55">
      <c r="A55" s="189"/>
      <c r="B55" s="189"/>
      <c r="C55" s="189"/>
      <c r="D55" s="190"/>
      <c r="E55" s="191"/>
      <c r="F55" s="189"/>
      <c r="G55" s="189"/>
      <c r="H55" s="189"/>
      <c r="I55" s="189"/>
      <c r="J55" s="3"/>
      <c r="K55" s="3"/>
      <c r="L55" s="3"/>
      <c r="M55" s="189"/>
      <c r="N55" s="189"/>
      <c r="P55" s="189"/>
      <c r="Q55" s="189"/>
      <c r="R55" s="189"/>
    </row>
    <row r="56">
      <c r="A56" s="189"/>
      <c r="B56" s="189"/>
      <c r="C56" s="189"/>
      <c r="D56" s="190"/>
      <c r="E56" s="189"/>
      <c r="F56" s="189"/>
      <c r="G56" s="189"/>
      <c r="H56" s="189"/>
      <c r="I56" s="189"/>
      <c r="J56" s="3"/>
      <c r="K56" s="3"/>
      <c r="L56" s="3"/>
      <c r="M56" s="189"/>
      <c r="N56" s="189"/>
      <c r="P56" s="189"/>
      <c r="Q56" s="189"/>
      <c r="R56" s="189"/>
    </row>
    <row r="57">
      <c r="A57" s="189"/>
      <c r="B57" s="189"/>
      <c r="C57" s="189"/>
      <c r="D57" s="190"/>
      <c r="E57" s="189"/>
      <c r="F57" s="189"/>
      <c r="G57" s="189"/>
      <c r="H57" s="189"/>
      <c r="I57" s="189"/>
      <c r="J57" s="3"/>
      <c r="K57" s="3"/>
      <c r="L57" s="3"/>
      <c r="M57" s="189"/>
      <c r="N57" s="189"/>
      <c r="P57" s="189"/>
      <c r="Q57" s="189"/>
      <c r="R57" s="189"/>
    </row>
    <row r="58">
      <c r="A58" s="189"/>
      <c r="B58" s="189"/>
      <c r="C58" s="189"/>
      <c r="D58" s="192"/>
      <c r="E58" s="189"/>
      <c r="F58" s="189"/>
      <c r="G58" s="189"/>
      <c r="H58" s="189"/>
      <c r="I58" s="189"/>
      <c r="J58" s="3"/>
      <c r="K58" s="3"/>
      <c r="L58" s="3"/>
      <c r="M58" s="189"/>
      <c r="N58" s="189"/>
      <c r="P58" s="189"/>
      <c r="Q58" s="189"/>
      <c r="R58" s="189"/>
    </row>
    <row r="59">
      <c r="A59" s="189"/>
      <c r="B59" s="189"/>
      <c r="C59" s="189"/>
      <c r="D59" s="190"/>
      <c r="E59" s="189"/>
      <c r="F59" s="189"/>
      <c r="G59" s="189"/>
      <c r="H59" s="189"/>
      <c r="I59" s="189"/>
      <c r="J59" s="3"/>
      <c r="K59" s="3"/>
      <c r="L59" s="3"/>
      <c r="M59" s="189"/>
      <c r="N59" s="189"/>
      <c r="P59" s="189"/>
      <c r="Q59" s="189"/>
      <c r="R59" s="189"/>
    </row>
    <row r="60">
      <c r="A60" s="189"/>
      <c r="B60" s="189"/>
      <c r="C60" s="189"/>
      <c r="D60" s="190"/>
      <c r="E60" s="189"/>
      <c r="F60" s="189"/>
      <c r="G60" s="189"/>
      <c r="H60" s="189"/>
      <c r="I60" s="189"/>
      <c r="J60" s="3"/>
      <c r="K60" s="3"/>
      <c r="L60" s="3"/>
      <c r="M60" s="189"/>
      <c r="N60" s="189"/>
      <c r="P60" s="189"/>
      <c r="Q60" s="189"/>
      <c r="R60" s="189"/>
    </row>
    <row r="61">
      <c r="A61" s="189"/>
      <c r="B61" s="189"/>
      <c r="C61" s="189"/>
      <c r="D61" s="190"/>
      <c r="E61" s="191"/>
      <c r="F61" s="189"/>
      <c r="G61" s="189"/>
      <c r="H61" s="189"/>
      <c r="I61" s="189"/>
      <c r="J61" s="3"/>
      <c r="K61" s="3"/>
      <c r="L61" s="3"/>
      <c r="M61" s="189"/>
      <c r="N61" s="189"/>
      <c r="P61" s="189"/>
      <c r="Q61" s="189"/>
      <c r="R61" s="189"/>
    </row>
    <row r="62">
      <c r="A62" s="189"/>
      <c r="B62" s="189"/>
      <c r="C62" s="189"/>
      <c r="D62" s="190"/>
      <c r="E62" s="189"/>
      <c r="F62" s="189"/>
      <c r="G62" s="189"/>
      <c r="H62" s="189"/>
      <c r="I62" s="189"/>
      <c r="J62" s="3"/>
      <c r="K62" s="3"/>
      <c r="L62" s="3"/>
      <c r="M62" s="189"/>
      <c r="N62" s="189"/>
      <c r="P62" s="189"/>
      <c r="Q62" s="189"/>
      <c r="R62" s="189"/>
    </row>
    <row r="63">
      <c r="A63" s="189"/>
      <c r="B63" s="189"/>
      <c r="C63" s="189"/>
      <c r="D63" s="190"/>
      <c r="E63" s="189"/>
      <c r="F63" s="189"/>
      <c r="G63" s="189"/>
      <c r="H63" s="189"/>
      <c r="I63" s="189"/>
      <c r="J63" s="3"/>
      <c r="K63" s="3"/>
      <c r="L63" s="3"/>
      <c r="M63" s="189"/>
      <c r="N63" s="189"/>
      <c r="P63" s="189"/>
      <c r="Q63" s="189"/>
      <c r="R63" s="189"/>
    </row>
    <row r="64">
      <c r="A64" s="189"/>
      <c r="B64" s="189"/>
      <c r="C64" s="189"/>
      <c r="D64" s="192"/>
      <c r="E64" s="189"/>
      <c r="F64" s="189"/>
      <c r="G64" s="189"/>
      <c r="H64" s="189"/>
      <c r="I64" s="189"/>
      <c r="J64" s="3"/>
      <c r="K64" s="3"/>
      <c r="L64" s="3"/>
      <c r="M64" s="189"/>
      <c r="N64" s="189"/>
      <c r="P64" s="189"/>
      <c r="Q64" s="189"/>
      <c r="R64" s="189"/>
    </row>
    <row r="65">
      <c r="A65" s="189"/>
      <c r="B65" s="189"/>
      <c r="C65" s="189"/>
      <c r="D65" s="190"/>
      <c r="E65" s="189"/>
      <c r="F65" s="189"/>
      <c r="G65" s="189"/>
      <c r="H65" s="189"/>
      <c r="I65" s="189"/>
      <c r="J65" s="3"/>
      <c r="K65" s="3"/>
      <c r="L65" s="3"/>
      <c r="M65" s="189"/>
      <c r="N65" s="189"/>
      <c r="P65" s="189"/>
      <c r="Q65" s="189"/>
      <c r="R65" s="189"/>
    </row>
    <row r="66">
      <c r="A66" s="189"/>
      <c r="B66" s="189"/>
      <c r="C66" s="189"/>
      <c r="D66" s="190"/>
      <c r="E66" s="189"/>
      <c r="F66" s="189"/>
      <c r="G66" s="189"/>
      <c r="H66" s="189"/>
      <c r="I66" s="189"/>
      <c r="J66" s="3"/>
      <c r="K66" s="3"/>
      <c r="L66" s="3"/>
      <c r="M66" s="189"/>
      <c r="N66" s="189"/>
      <c r="P66" s="189"/>
      <c r="Q66" s="189"/>
      <c r="R66" s="189"/>
    </row>
    <row r="67">
      <c r="A67" s="189"/>
      <c r="B67" s="189"/>
      <c r="C67" s="189"/>
      <c r="D67" s="190"/>
      <c r="E67" s="191"/>
      <c r="F67" s="189"/>
      <c r="G67" s="189"/>
      <c r="H67" s="189"/>
      <c r="I67" s="189"/>
      <c r="J67" s="3"/>
      <c r="K67" s="3"/>
      <c r="L67" s="3"/>
      <c r="M67" s="189"/>
      <c r="N67" s="189"/>
      <c r="P67" s="189"/>
      <c r="Q67" s="189"/>
      <c r="R67" s="189"/>
    </row>
    <row r="68">
      <c r="A68" s="189"/>
      <c r="B68" s="189"/>
      <c r="C68" s="189"/>
      <c r="D68" s="190"/>
      <c r="E68" s="189"/>
      <c r="F68" s="189"/>
      <c r="G68" s="189"/>
      <c r="H68" s="189"/>
      <c r="I68" s="189"/>
      <c r="J68" s="3"/>
      <c r="K68" s="3"/>
      <c r="L68" s="3"/>
      <c r="M68" s="189"/>
      <c r="N68" s="189"/>
      <c r="P68" s="189"/>
      <c r="Q68" s="189"/>
      <c r="R68" s="189"/>
    </row>
    <row r="69">
      <c r="A69" s="189"/>
      <c r="B69" s="189"/>
      <c r="C69" s="189"/>
      <c r="D69" s="190"/>
      <c r="E69" s="189"/>
      <c r="F69" s="189"/>
      <c r="G69" s="189"/>
      <c r="H69" s="189"/>
      <c r="I69" s="189"/>
      <c r="J69" s="3"/>
      <c r="K69" s="3"/>
      <c r="L69" s="3"/>
      <c r="M69" s="189"/>
      <c r="N69" s="189"/>
      <c r="P69" s="189"/>
      <c r="Q69" s="189"/>
      <c r="R69" s="189"/>
    </row>
    <row r="70">
      <c r="A70" s="189"/>
      <c r="B70" s="189"/>
      <c r="C70" s="189"/>
      <c r="D70" s="192"/>
      <c r="E70" s="189"/>
      <c r="F70" s="189"/>
      <c r="G70" s="189"/>
      <c r="H70" s="189"/>
      <c r="I70" s="189"/>
      <c r="J70" s="3"/>
      <c r="K70" s="3"/>
      <c r="L70" s="3"/>
      <c r="M70" s="189"/>
      <c r="N70" s="189"/>
      <c r="P70" s="189"/>
      <c r="Q70" s="189"/>
      <c r="R70" s="189"/>
    </row>
    <row r="71">
      <c r="A71" s="189"/>
      <c r="B71" s="189"/>
      <c r="C71" s="189"/>
      <c r="D71" s="190"/>
      <c r="E71" s="189"/>
      <c r="F71" s="189"/>
      <c r="G71" s="189"/>
      <c r="H71" s="189"/>
      <c r="I71" s="189"/>
      <c r="J71" s="3"/>
      <c r="K71" s="3"/>
      <c r="L71" s="3"/>
      <c r="M71" s="189"/>
      <c r="N71" s="189"/>
      <c r="P71" s="189"/>
      <c r="Q71" s="189"/>
      <c r="R71" s="189"/>
    </row>
    <row r="72">
      <c r="A72" s="189"/>
      <c r="B72" s="189"/>
      <c r="C72" s="189"/>
      <c r="D72" s="190"/>
      <c r="E72" s="189"/>
      <c r="F72" s="189"/>
      <c r="G72" s="189"/>
      <c r="H72" s="189"/>
      <c r="I72" s="189"/>
      <c r="J72" s="3"/>
      <c r="K72" s="3"/>
      <c r="L72" s="3"/>
      <c r="M72" s="189"/>
      <c r="N72" s="189"/>
      <c r="P72" s="189"/>
      <c r="Q72" s="189"/>
      <c r="R72" s="189"/>
    </row>
    <row r="73">
      <c r="A73" s="189"/>
      <c r="B73" s="189"/>
      <c r="C73" s="189"/>
      <c r="D73" s="190"/>
      <c r="E73" s="191"/>
      <c r="F73" s="189"/>
      <c r="G73" s="189"/>
      <c r="H73" s="189"/>
      <c r="I73" s="189"/>
      <c r="J73" s="3"/>
      <c r="K73" s="3"/>
      <c r="L73" s="3"/>
      <c r="M73" s="189"/>
      <c r="N73" s="189"/>
      <c r="P73" s="189"/>
      <c r="Q73" s="189"/>
      <c r="R73" s="189"/>
    </row>
    <row r="74">
      <c r="A74" s="189"/>
      <c r="B74" s="189"/>
      <c r="C74" s="189"/>
      <c r="D74" s="190"/>
      <c r="E74" s="189"/>
      <c r="F74" s="189"/>
      <c r="G74" s="189"/>
      <c r="H74" s="189"/>
      <c r="I74" s="189"/>
      <c r="J74" s="3"/>
      <c r="K74" s="3"/>
      <c r="L74" s="3"/>
      <c r="M74" s="189"/>
      <c r="N74" s="189"/>
      <c r="P74" s="189"/>
      <c r="Q74" s="189"/>
      <c r="R74" s="189"/>
    </row>
    <row r="75">
      <c r="A75" s="189"/>
      <c r="B75" s="189"/>
      <c r="C75" s="189"/>
      <c r="D75" s="190"/>
      <c r="E75" s="189"/>
      <c r="F75" s="189"/>
      <c r="G75" s="189"/>
      <c r="H75" s="189"/>
      <c r="I75" s="189"/>
      <c r="J75" s="3"/>
      <c r="K75" s="3"/>
      <c r="L75" s="3"/>
      <c r="M75" s="189"/>
      <c r="N75" s="189"/>
      <c r="P75" s="189"/>
      <c r="Q75" s="189"/>
      <c r="R75" s="189"/>
    </row>
    <row r="76">
      <c r="A76" s="189"/>
      <c r="B76" s="189"/>
      <c r="C76" s="189"/>
      <c r="D76" s="192"/>
      <c r="E76" s="189"/>
      <c r="F76" s="189"/>
      <c r="G76" s="189"/>
      <c r="H76" s="189"/>
      <c r="I76" s="189"/>
      <c r="J76" s="3"/>
      <c r="K76" s="3"/>
      <c r="L76" s="3"/>
      <c r="M76" s="189"/>
      <c r="N76" s="189"/>
      <c r="P76" s="189"/>
      <c r="Q76" s="189"/>
      <c r="R76" s="189"/>
    </row>
    <row r="77">
      <c r="A77" s="189"/>
      <c r="B77" s="189"/>
      <c r="C77" s="189"/>
      <c r="D77" s="190"/>
      <c r="E77" s="189"/>
      <c r="F77" s="189"/>
      <c r="G77" s="189"/>
      <c r="H77" s="189"/>
      <c r="I77" s="189"/>
      <c r="J77" s="3"/>
      <c r="K77" s="3"/>
      <c r="L77" s="3"/>
      <c r="M77" s="189"/>
      <c r="N77" s="189"/>
      <c r="P77" s="189"/>
      <c r="Q77" s="189"/>
      <c r="R77" s="189"/>
    </row>
    <row r="78">
      <c r="A78" s="189"/>
      <c r="B78" s="189"/>
      <c r="C78" s="189"/>
      <c r="D78" s="190"/>
      <c r="E78" s="189"/>
      <c r="F78" s="189"/>
      <c r="G78" s="189"/>
      <c r="H78" s="189"/>
      <c r="I78" s="189"/>
      <c r="J78" s="3"/>
      <c r="K78" s="3"/>
      <c r="L78" s="3"/>
      <c r="M78" s="189"/>
      <c r="N78" s="189"/>
      <c r="P78" s="189"/>
      <c r="Q78" s="189"/>
      <c r="R78" s="189"/>
    </row>
    <row r="79">
      <c r="A79" s="189"/>
      <c r="B79" s="189"/>
      <c r="C79" s="189"/>
      <c r="D79" s="190"/>
      <c r="E79" s="191"/>
      <c r="F79" s="189"/>
      <c r="G79" s="189"/>
      <c r="H79" s="189"/>
      <c r="I79" s="189"/>
      <c r="J79" s="3"/>
      <c r="K79" s="3"/>
      <c r="L79" s="3"/>
      <c r="M79" s="189"/>
      <c r="N79" s="189"/>
      <c r="P79" s="189"/>
      <c r="Q79" s="189"/>
      <c r="R79" s="189"/>
    </row>
    <row r="80">
      <c r="A80" s="189"/>
      <c r="B80" s="189"/>
      <c r="C80" s="189"/>
      <c r="D80" s="190"/>
      <c r="E80" s="189"/>
      <c r="F80" s="189"/>
      <c r="G80" s="189"/>
      <c r="H80" s="189"/>
      <c r="I80" s="189"/>
      <c r="J80" s="3"/>
      <c r="K80" s="3"/>
      <c r="L80" s="3"/>
      <c r="M80" s="189"/>
      <c r="N80" s="189"/>
      <c r="P80" s="189"/>
      <c r="Q80" s="189"/>
      <c r="R80" s="189"/>
    </row>
    <row r="81">
      <c r="A81" s="189"/>
      <c r="B81" s="189"/>
      <c r="C81" s="189"/>
      <c r="D81" s="190"/>
      <c r="E81" s="189"/>
      <c r="F81" s="189"/>
      <c r="G81" s="189"/>
      <c r="H81" s="189"/>
      <c r="I81" s="189"/>
      <c r="J81" s="3"/>
      <c r="K81" s="3"/>
      <c r="L81" s="3"/>
      <c r="M81" s="189"/>
      <c r="N81" s="189"/>
      <c r="P81" s="189"/>
      <c r="Q81" s="189"/>
      <c r="R81" s="189"/>
    </row>
    <row r="82">
      <c r="A82" s="189"/>
      <c r="B82" s="189"/>
      <c r="C82" s="189"/>
      <c r="D82" s="192"/>
      <c r="E82" s="189"/>
      <c r="F82" s="189"/>
      <c r="G82" s="189"/>
      <c r="H82" s="189"/>
      <c r="I82" s="189"/>
      <c r="J82" s="3"/>
      <c r="K82" s="3"/>
      <c r="L82" s="3"/>
      <c r="M82" s="189"/>
      <c r="N82" s="189"/>
      <c r="P82" s="189"/>
      <c r="Q82" s="189"/>
      <c r="R82" s="189"/>
    </row>
    <row r="83">
      <c r="A83" s="189"/>
      <c r="B83" s="189"/>
      <c r="C83" s="189"/>
      <c r="D83" s="190"/>
      <c r="E83" s="189"/>
      <c r="F83" s="189"/>
      <c r="G83" s="189"/>
      <c r="H83" s="189"/>
      <c r="I83" s="189"/>
      <c r="J83" s="3"/>
      <c r="K83" s="3"/>
      <c r="L83" s="3"/>
      <c r="M83" s="189"/>
      <c r="N83" s="189"/>
      <c r="P83" s="189"/>
      <c r="Q83" s="189"/>
      <c r="R83" s="189"/>
    </row>
    <row r="84">
      <c r="A84" s="189"/>
      <c r="B84" s="189"/>
      <c r="C84" s="189"/>
      <c r="D84" s="190"/>
      <c r="E84" s="189"/>
      <c r="F84" s="189"/>
      <c r="G84" s="189"/>
      <c r="H84" s="189"/>
      <c r="I84" s="189"/>
      <c r="J84" s="3"/>
      <c r="K84" s="3"/>
      <c r="L84" s="3"/>
      <c r="M84" s="189"/>
      <c r="N84" s="189"/>
      <c r="P84" s="189"/>
      <c r="Q84" s="189"/>
      <c r="R84" s="189"/>
    </row>
    <row r="85">
      <c r="A85" s="189"/>
      <c r="B85" s="189"/>
      <c r="C85" s="189"/>
      <c r="D85" s="190"/>
      <c r="E85" s="191"/>
      <c r="F85" s="189"/>
      <c r="G85" s="189"/>
      <c r="H85" s="189"/>
      <c r="I85" s="189"/>
      <c r="J85" s="3"/>
      <c r="K85" s="3"/>
      <c r="L85" s="3"/>
      <c r="M85" s="189"/>
      <c r="N85" s="189"/>
      <c r="P85" s="189"/>
      <c r="Q85" s="189"/>
      <c r="R85" s="189"/>
    </row>
    <row r="86">
      <c r="A86" s="189"/>
      <c r="B86" s="189"/>
      <c r="C86" s="189"/>
      <c r="D86" s="190"/>
      <c r="E86" s="189"/>
      <c r="F86" s="189"/>
      <c r="G86" s="189"/>
      <c r="H86" s="189"/>
      <c r="I86" s="189"/>
      <c r="J86" s="3"/>
      <c r="K86" s="3"/>
      <c r="L86" s="3"/>
      <c r="M86" s="189"/>
      <c r="N86" s="189"/>
      <c r="P86" s="189"/>
      <c r="Q86" s="189"/>
      <c r="R86" s="189"/>
    </row>
    <row r="87">
      <c r="A87" s="189"/>
      <c r="B87" s="189"/>
      <c r="C87" s="189"/>
      <c r="D87" s="190"/>
      <c r="E87" s="189"/>
      <c r="F87" s="189"/>
      <c r="G87" s="189"/>
      <c r="H87" s="189"/>
      <c r="I87" s="189"/>
      <c r="J87" s="3"/>
      <c r="K87" s="3"/>
      <c r="L87" s="3"/>
      <c r="M87" s="189"/>
      <c r="N87" s="189"/>
      <c r="P87" s="189"/>
      <c r="Q87" s="189"/>
      <c r="R87" s="189"/>
    </row>
    <row r="88">
      <c r="A88" s="189"/>
      <c r="B88" s="189"/>
      <c r="C88" s="189"/>
      <c r="D88" s="192"/>
      <c r="E88" s="189"/>
      <c r="F88" s="189"/>
      <c r="G88" s="189"/>
      <c r="H88" s="189"/>
      <c r="I88" s="189"/>
      <c r="J88" s="3"/>
      <c r="K88" s="3"/>
      <c r="L88" s="3"/>
      <c r="M88" s="189"/>
      <c r="N88" s="189"/>
      <c r="P88" s="189"/>
      <c r="Q88" s="189"/>
      <c r="R88" s="189"/>
    </row>
    <row r="89">
      <c r="A89" s="189"/>
      <c r="B89" s="189"/>
      <c r="C89" s="189"/>
      <c r="D89" s="190"/>
      <c r="E89" s="189"/>
      <c r="F89" s="189"/>
      <c r="G89" s="189"/>
      <c r="H89" s="189"/>
      <c r="I89" s="189"/>
      <c r="J89" s="3"/>
      <c r="K89" s="3"/>
      <c r="L89" s="3"/>
      <c r="M89" s="189"/>
      <c r="N89" s="189"/>
      <c r="P89" s="189"/>
      <c r="Q89" s="189"/>
      <c r="R89" s="189"/>
    </row>
    <row r="90">
      <c r="A90" s="189"/>
      <c r="B90" s="189"/>
      <c r="C90" s="189"/>
      <c r="D90" s="190"/>
      <c r="E90" s="189"/>
      <c r="F90" s="189"/>
      <c r="G90" s="189"/>
      <c r="H90" s="189"/>
      <c r="I90" s="189"/>
      <c r="J90" s="3"/>
      <c r="K90" s="3"/>
      <c r="L90" s="3"/>
      <c r="M90" s="189"/>
      <c r="N90" s="189"/>
      <c r="P90" s="189"/>
      <c r="Q90" s="189"/>
      <c r="R90" s="189"/>
    </row>
    <row r="91">
      <c r="A91" s="189"/>
      <c r="B91" s="189"/>
      <c r="C91" s="189"/>
      <c r="D91" s="190"/>
      <c r="E91" s="191"/>
      <c r="F91" s="189"/>
      <c r="G91" s="189"/>
      <c r="H91" s="189"/>
      <c r="I91" s="189"/>
      <c r="J91" s="3"/>
      <c r="K91" s="3"/>
      <c r="L91" s="3"/>
      <c r="M91" s="189"/>
      <c r="N91" s="189"/>
      <c r="P91" s="189"/>
      <c r="Q91" s="189"/>
      <c r="R91" s="189"/>
    </row>
    <row r="92">
      <c r="A92" s="189"/>
      <c r="B92" s="189"/>
      <c r="C92" s="189"/>
      <c r="D92" s="190"/>
      <c r="E92" s="189"/>
      <c r="F92" s="189"/>
      <c r="G92" s="189"/>
      <c r="H92" s="189"/>
      <c r="I92" s="189"/>
      <c r="J92" s="3"/>
      <c r="K92" s="3"/>
      <c r="L92" s="3"/>
      <c r="M92" s="189"/>
      <c r="N92" s="189"/>
      <c r="P92" s="189"/>
      <c r="Q92" s="189"/>
      <c r="R92" s="189"/>
    </row>
    <row r="93">
      <c r="A93" s="189"/>
      <c r="B93" s="189"/>
      <c r="C93" s="189"/>
      <c r="D93" s="190"/>
      <c r="E93" s="189"/>
      <c r="F93" s="189"/>
      <c r="G93" s="189"/>
      <c r="H93" s="189"/>
      <c r="I93" s="189"/>
      <c r="J93" s="3"/>
      <c r="K93" s="3"/>
      <c r="L93" s="3"/>
      <c r="M93" s="189"/>
      <c r="N93" s="189"/>
      <c r="P93" s="189"/>
      <c r="Q93" s="189"/>
      <c r="R93" s="189"/>
    </row>
    <row r="94">
      <c r="A94" s="189"/>
      <c r="B94" s="189"/>
      <c r="C94" s="189"/>
      <c r="D94" s="192"/>
      <c r="E94" s="189"/>
      <c r="F94" s="189"/>
      <c r="G94" s="189"/>
      <c r="H94" s="189"/>
      <c r="I94" s="189"/>
      <c r="J94" s="3"/>
      <c r="K94" s="3"/>
      <c r="L94" s="3"/>
      <c r="M94" s="189"/>
      <c r="N94" s="189"/>
      <c r="P94" s="189"/>
      <c r="Q94" s="189"/>
      <c r="R94" s="189"/>
    </row>
    <row r="95">
      <c r="A95" s="189"/>
      <c r="B95" s="189"/>
      <c r="C95" s="189"/>
      <c r="D95" s="190"/>
      <c r="E95" s="189"/>
      <c r="F95" s="189"/>
      <c r="G95" s="189"/>
      <c r="H95" s="189"/>
      <c r="I95" s="189"/>
      <c r="J95" s="3"/>
      <c r="K95" s="3"/>
      <c r="L95" s="3"/>
      <c r="M95" s="189"/>
      <c r="N95" s="189"/>
      <c r="P95" s="189"/>
      <c r="Q95" s="189"/>
      <c r="R95" s="189"/>
    </row>
    <row r="96">
      <c r="A96" s="189"/>
      <c r="B96" s="189"/>
      <c r="C96" s="189"/>
      <c r="D96" s="190"/>
      <c r="E96" s="189"/>
      <c r="F96" s="189"/>
      <c r="G96" s="189"/>
      <c r="H96" s="189"/>
      <c r="I96" s="189"/>
      <c r="J96" s="3"/>
      <c r="K96" s="3"/>
      <c r="L96" s="3"/>
      <c r="M96" s="189"/>
      <c r="N96" s="189"/>
      <c r="P96" s="189"/>
      <c r="Q96" s="189"/>
      <c r="R96" s="189"/>
    </row>
    <row r="97">
      <c r="A97" s="189"/>
      <c r="B97" s="189"/>
      <c r="C97" s="189"/>
      <c r="D97" s="190"/>
      <c r="E97" s="189"/>
      <c r="F97" s="189"/>
      <c r="G97" s="189"/>
      <c r="H97" s="189"/>
      <c r="I97" s="189"/>
      <c r="J97" s="3"/>
      <c r="K97" s="3"/>
      <c r="L97" s="3"/>
      <c r="M97" s="189"/>
      <c r="N97" s="189"/>
      <c r="P97" s="189"/>
      <c r="Q97" s="189"/>
      <c r="R97" s="189"/>
    </row>
    <row r="98">
      <c r="A98" s="189"/>
      <c r="B98" s="189"/>
      <c r="C98" s="189"/>
      <c r="D98" s="190"/>
      <c r="E98" s="189"/>
      <c r="F98" s="189"/>
      <c r="G98" s="189"/>
      <c r="H98" s="189"/>
      <c r="I98" s="189"/>
      <c r="J98" s="3"/>
      <c r="K98" s="3"/>
      <c r="L98" s="3"/>
      <c r="M98" s="189"/>
      <c r="N98" s="189"/>
      <c r="P98" s="189"/>
      <c r="Q98" s="189"/>
      <c r="R98" s="189"/>
    </row>
    <row r="99">
      <c r="A99" s="189"/>
      <c r="B99" s="189"/>
      <c r="C99" s="189"/>
      <c r="D99" s="190"/>
      <c r="E99" s="189"/>
      <c r="F99" s="189"/>
      <c r="G99" s="189"/>
      <c r="H99" s="189"/>
      <c r="I99" s="189"/>
      <c r="J99" s="3"/>
      <c r="K99" s="3"/>
      <c r="L99" s="3"/>
      <c r="M99" s="189"/>
      <c r="N99" s="189"/>
      <c r="P99" s="189"/>
      <c r="Q99" s="189"/>
      <c r="R99" s="189"/>
    </row>
    <row r="100">
      <c r="A100" s="189"/>
      <c r="B100" s="189"/>
      <c r="C100" s="189"/>
      <c r="D100" s="192"/>
      <c r="E100" s="189"/>
      <c r="F100" s="189"/>
      <c r="G100" s="189"/>
      <c r="H100" s="189"/>
      <c r="I100" s="189"/>
      <c r="J100" s="3"/>
      <c r="K100" s="3"/>
      <c r="L100" s="3"/>
      <c r="M100" s="189"/>
      <c r="N100" s="189"/>
      <c r="P100" s="189"/>
      <c r="Q100" s="189"/>
      <c r="R100" s="189"/>
    </row>
    <row r="101">
      <c r="A101" s="3"/>
      <c r="B101" s="3"/>
      <c r="C101" s="3"/>
      <c r="D101" s="190"/>
      <c r="E101" s="3"/>
      <c r="F101" s="3"/>
      <c r="G101" s="3"/>
      <c r="H101" s="3"/>
      <c r="I101" s="3"/>
      <c r="J101" s="3"/>
      <c r="K101" s="3"/>
      <c r="L101" s="3"/>
      <c r="M101" s="3"/>
      <c r="N101" s="3"/>
      <c r="P101" s="3"/>
      <c r="Q101" s="3"/>
      <c r="R101" s="3"/>
    </row>
    <row r="102">
      <c r="A102" s="3"/>
      <c r="B102" s="3"/>
      <c r="C102" s="3"/>
      <c r="D102" s="190"/>
      <c r="E102" s="3"/>
      <c r="F102" s="3"/>
      <c r="G102" s="3"/>
      <c r="H102" s="3"/>
      <c r="I102" s="3"/>
      <c r="J102" s="3"/>
      <c r="K102" s="3"/>
      <c r="L102" s="3"/>
      <c r="M102" s="3"/>
      <c r="N102" s="3"/>
      <c r="P102" s="3"/>
      <c r="Q102" s="3"/>
      <c r="R102" s="3"/>
    </row>
    <row r="103">
      <c r="A103" s="3"/>
      <c r="B103" s="3"/>
      <c r="C103" s="3"/>
      <c r="D103" s="190"/>
      <c r="E103" s="3"/>
      <c r="F103" s="3"/>
      <c r="G103" s="3"/>
      <c r="H103" s="3"/>
      <c r="I103" s="3"/>
      <c r="J103" s="3"/>
      <c r="K103" s="3"/>
      <c r="L103" s="3"/>
      <c r="M103" s="3"/>
      <c r="N103" s="3"/>
      <c r="P103" s="3"/>
      <c r="Q103" s="3"/>
      <c r="R103" s="3"/>
    </row>
    <row r="104">
      <c r="A104" s="3"/>
      <c r="B104" s="3"/>
      <c r="C104" s="3"/>
      <c r="D104" s="190"/>
      <c r="E104" s="3"/>
      <c r="F104" s="3"/>
      <c r="G104" s="3"/>
      <c r="H104" s="3"/>
      <c r="I104" s="3"/>
      <c r="J104" s="3"/>
      <c r="K104" s="3"/>
      <c r="L104" s="3"/>
      <c r="M104" s="3"/>
      <c r="N104" s="3"/>
      <c r="P104" s="3"/>
      <c r="Q104" s="3"/>
      <c r="R104" s="3"/>
    </row>
    <row r="105">
      <c r="A105" s="3"/>
      <c r="B105" s="3"/>
      <c r="C105" s="3"/>
      <c r="D105" s="190"/>
      <c r="E105" s="3"/>
      <c r="F105" s="3"/>
      <c r="G105" s="3"/>
      <c r="H105" s="3"/>
      <c r="I105" s="3"/>
      <c r="J105" s="3"/>
      <c r="K105" s="3"/>
      <c r="L105" s="3"/>
      <c r="M105" s="3"/>
      <c r="N105" s="3"/>
      <c r="P105" s="3"/>
      <c r="Q105" s="3"/>
      <c r="R105" s="3"/>
    </row>
    <row r="106">
      <c r="A106" s="3"/>
      <c r="B106" s="3"/>
      <c r="C106" s="3"/>
      <c r="D106" s="190"/>
      <c r="E106" s="3"/>
      <c r="F106" s="3"/>
      <c r="G106" s="3"/>
      <c r="H106" s="3"/>
      <c r="I106" s="3"/>
      <c r="J106" s="3"/>
      <c r="K106" s="3"/>
      <c r="L106" s="3"/>
      <c r="M106" s="3"/>
      <c r="N106" s="3"/>
      <c r="P106" s="3"/>
      <c r="Q106" s="3"/>
      <c r="R106" s="3"/>
    </row>
    <row r="107">
      <c r="A107" s="3"/>
      <c r="B107" s="3"/>
      <c r="C107" s="3"/>
      <c r="D107" s="190"/>
      <c r="E107" s="3"/>
      <c r="F107" s="3"/>
      <c r="G107" s="3"/>
      <c r="H107" s="3"/>
      <c r="I107" s="3"/>
      <c r="J107" s="3"/>
      <c r="K107" s="3"/>
      <c r="L107" s="3"/>
      <c r="M107" s="3"/>
      <c r="N107" s="3"/>
      <c r="P107" s="3"/>
      <c r="Q107" s="3"/>
      <c r="R107" s="3"/>
    </row>
    <row r="108">
      <c r="A108" s="3"/>
      <c r="B108" s="3"/>
      <c r="C108" s="3"/>
      <c r="D108" s="190"/>
      <c r="E108" s="3"/>
      <c r="F108" s="3"/>
      <c r="G108" s="3"/>
      <c r="H108" s="3"/>
      <c r="I108" s="3"/>
      <c r="J108" s="3"/>
      <c r="K108" s="3"/>
      <c r="L108" s="3"/>
      <c r="M108" s="3"/>
      <c r="N108" s="3"/>
      <c r="P108" s="3"/>
      <c r="Q108" s="3"/>
      <c r="R108" s="3"/>
    </row>
    <row r="109">
      <c r="A109" s="3"/>
      <c r="B109" s="3"/>
      <c r="C109" s="3"/>
      <c r="D109" s="190"/>
      <c r="E109" s="3"/>
      <c r="F109" s="3"/>
      <c r="G109" s="3"/>
      <c r="H109" s="3"/>
      <c r="I109" s="3"/>
      <c r="J109" s="3"/>
      <c r="K109" s="3"/>
      <c r="L109" s="3"/>
      <c r="M109" s="3"/>
      <c r="N109" s="3"/>
      <c r="P109" s="3"/>
      <c r="Q109" s="3"/>
      <c r="R109" s="3"/>
    </row>
    <row r="110">
      <c r="A110" s="3"/>
      <c r="B110" s="3"/>
      <c r="C110" s="3"/>
      <c r="D110" s="190"/>
      <c r="E110" s="3"/>
      <c r="F110" s="3"/>
      <c r="G110" s="3"/>
      <c r="H110" s="3"/>
      <c r="I110" s="3"/>
      <c r="J110" s="3"/>
      <c r="K110" s="3"/>
      <c r="L110" s="3"/>
      <c r="M110" s="3"/>
      <c r="N110" s="3"/>
      <c r="P110" s="3"/>
      <c r="Q110" s="3"/>
      <c r="R110" s="3"/>
    </row>
    <row r="111">
      <c r="A111" s="3"/>
      <c r="B111" s="3"/>
      <c r="C111" s="3"/>
      <c r="D111" s="190"/>
      <c r="E111" s="3"/>
      <c r="F111" s="3"/>
      <c r="G111" s="3"/>
      <c r="H111" s="3"/>
      <c r="I111" s="3"/>
      <c r="J111" s="3"/>
      <c r="K111" s="3"/>
      <c r="L111" s="3"/>
      <c r="M111" s="3"/>
      <c r="N111" s="3"/>
      <c r="P111" s="3"/>
      <c r="Q111" s="3"/>
      <c r="R111" s="3"/>
    </row>
    <row r="112">
      <c r="A112" s="3"/>
      <c r="B112" s="3"/>
      <c r="C112" s="3"/>
      <c r="D112" s="190"/>
      <c r="E112" s="3"/>
      <c r="F112" s="3"/>
      <c r="G112" s="3"/>
      <c r="H112" s="3"/>
      <c r="I112" s="3"/>
      <c r="J112" s="3"/>
      <c r="K112" s="3"/>
      <c r="L112" s="3"/>
      <c r="M112" s="3"/>
      <c r="N112" s="3"/>
      <c r="P112" s="3"/>
      <c r="Q112" s="3"/>
      <c r="R112" s="3"/>
    </row>
    <row r="113">
      <c r="A113" s="3"/>
      <c r="B113" s="3"/>
      <c r="C113" s="3"/>
      <c r="D113" s="190"/>
      <c r="E113" s="3"/>
      <c r="F113" s="3"/>
      <c r="G113" s="3"/>
      <c r="H113" s="3"/>
      <c r="I113" s="3"/>
      <c r="J113" s="3"/>
      <c r="K113" s="3"/>
      <c r="L113" s="3"/>
      <c r="M113" s="3"/>
      <c r="N113" s="3"/>
      <c r="P113" s="3"/>
      <c r="Q113" s="3"/>
      <c r="R113" s="3"/>
    </row>
    <row r="114">
      <c r="A114" s="3"/>
      <c r="B114" s="3"/>
      <c r="C114" s="3"/>
      <c r="D114" s="190"/>
      <c r="E114" s="3"/>
      <c r="F114" s="3"/>
      <c r="G114" s="3"/>
      <c r="H114" s="3"/>
      <c r="I114" s="3"/>
      <c r="J114" s="3"/>
      <c r="K114" s="3"/>
      <c r="L114" s="3"/>
      <c r="M114" s="3"/>
      <c r="N114" s="3"/>
      <c r="P114" s="3"/>
      <c r="Q114" s="3"/>
      <c r="R114" s="3"/>
    </row>
    <row r="115">
      <c r="A115" s="3"/>
      <c r="B115" s="3"/>
      <c r="C115" s="3"/>
      <c r="D115" s="190"/>
      <c r="E115" s="3"/>
      <c r="F115" s="3"/>
      <c r="G115" s="3"/>
      <c r="H115" s="3"/>
      <c r="I115" s="3"/>
      <c r="J115" s="3"/>
      <c r="K115" s="3"/>
      <c r="L115" s="3"/>
      <c r="M115" s="3"/>
      <c r="N115" s="3"/>
      <c r="P115" s="3"/>
      <c r="Q115" s="3"/>
      <c r="R115" s="3"/>
    </row>
    <row r="116">
      <c r="A116" s="3"/>
      <c r="B116" s="3"/>
      <c r="C116" s="3"/>
      <c r="D116" s="190"/>
      <c r="E116" s="3"/>
      <c r="F116" s="3"/>
      <c r="G116" s="3"/>
      <c r="H116" s="3"/>
      <c r="I116" s="3"/>
      <c r="J116" s="3"/>
      <c r="K116" s="3"/>
      <c r="L116" s="3"/>
      <c r="M116" s="3"/>
      <c r="N116" s="3"/>
      <c r="P116" s="3"/>
      <c r="Q116" s="3"/>
      <c r="R116" s="3"/>
    </row>
    <row r="117">
      <c r="A117" s="3"/>
      <c r="B117" s="3"/>
      <c r="C117" s="3"/>
      <c r="D117" s="190"/>
      <c r="E117" s="3"/>
      <c r="F117" s="3"/>
      <c r="G117" s="3"/>
      <c r="H117" s="3"/>
      <c r="I117" s="3"/>
      <c r="J117" s="3"/>
      <c r="K117" s="3"/>
      <c r="L117" s="3"/>
      <c r="M117" s="3"/>
      <c r="N117" s="3"/>
      <c r="P117" s="3"/>
      <c r="Q117" s="3"/>
      <c r="R117" s="3"/>
    </row>
    <row r="118">
      <c r="A118" s="3"/>
      <c r="B118" s="3"/>
      <c r="C118" s="3"/>
      <c r="D118" s="190"/>
      <c r="E118" s="3"/>
      <c r="F118" s="3"/>
      <c r="G118" s="3"/>
      <c r="H118" s="3"/>
      <c r="I118" s="3"/>
      <c r="J118" s="3"/>
      <c r="K118" s="3"/>
      <c r="L118" s="3"/>
      <c r="M118" s="3"/>
      <c r="N118" s="3"/>
      <c r="P118" s="3"/>
      <c r="Q118" s="3"/>
      <c r="R118" s="3"/>
    </row>
    <row r="119">
      <c r="A119" s="3"/>
      <c r="B119" s="3"/>
      <c r="C119" s="3"/>
      <c r="D119" s="190"/>
      <c r="E119" s="3"/>
      <c r="F119" s="3"/>
      <c r="G119" s="3"/>
      <c r="H119" s="3"/>
      <c r="I119" s="3"/>
      <c r="J119" s="3"/>
      <c r="K119" s="3"/>
      <c r="L119" s="3"/>
      <c r="M119" s="3"/>
      <c r="N119" s="3"/>
      <c r="P119" s="3"/>
      <c r="Q119" s="3"/>
      <c r="R119" s="3"/>
    </row>
    <row r="120">
      <c r="A120" s="3"/>
      <c r="B120" s="3"/>
      <c r="C120" s="3"/>
      <c r="D120" s="190"/>
      <c r="E120" s="3"/>
      <c r="F120" s="3"/>
      <c r="G120" s="3"/>
      <c r="H120" s="3"/>
      <c r="I120" s="3"/>
      <c r="J120" s="3"/>
      <c r="K120" s="3"/>
      <c r="L120" s="3"/>
      <c r="M120" s="3"/>
      <c r="N120" s="3"/>
      <c r="P120" s="3"/>
      <c r="Q120" s="3"/>
      <c r="R120" s="3"/>
    </row>
    <row r="121">
      <c r="A121" s="3"/>
      <c r="B121" s="3"/>
      <c r="C121" s="3"/>
      <c r="D121" s="190"/>
      <c r="E121" s="3"/>
      <c r="F121" s="3"/>
      <c r="G121" s="3"/>
      <c r="H121" s="3"/>
      <c r="I121" s="3"/>
      <c r="J121" s="3"/>
      <c r="K121" s="3"/>
      <c r="L121" s="3"/>
      <c r="M121" s="3"/>
      <c r="N121" s="3"/>
      <c r="P121" s="3"/>
      <c r="Q121" s="3"/>
      <c r="R121" s="3"/>
    </row>
    <row r="122">
      <c r="A122" s="3"/>
      <c r="B122" s="3"/>
      <c r="C122" s="3"/>
      <c r="D122" s="190"/>
      <c r="E122" s="3"/>
      <c r="F122" s="3"/>
      <c r="G122" s="3"/>
      <c r="H122" s="3"/>
      <c r="I122" s="3"/>
      <c r="J122" s="3"/>
      <c r="K122" s="3"/>
      <c r="L122" s="3"/>
      <c r="M122" s="3"/>
      <c r="N122" s="3"/>
      <c r="P122" s="3"/>
      <c r="Q122" s="3"/>
      <c r="R122" s="3"/>
    </row>
    <row r="123">
      <c r="A123" s="3"/>
      <c r="B123" s="3"/>
      <c r="C123" s="3"/>
      <c r="D123" s="190"/>
      <c r="E123" s="3"/>
      <c r="F123" s="3"/>
      <c r="G123" s="3"/>
      <c r="H123" s="3"/>
      <c r="I123" s="3"/>
      <c r="J123" s="3"/>
      <c r="K123" s="3"/>
      <c r="L123" s="3"/>
      <c r="M123" s="3"/>
      <c r="N123" s="3"/>
      <c r="P123" s="3"/>
      <c r="Q123" s="3"/>
      <c r="R123" s="3"/>
    </row>
    <row r="124">
      <c r="A124" s="3"/>
      <c r="B124" s="3"/>
      <c r="C124" s="3"/>
      <c r="D124" s="190"/>
      <c r="E124" s="3"/>
      <c r="F124" s="3"/>
      <c r="G124" s="3"/>
      <c r="H124" s="3"/>
      <c r="I124" s="3"/>
      <c r="J124" s="3"/>
      <c r="K124" s="3"/>
      <c r="L124" s="3"/>
      <c r="M124" s="3"/>
      <c r="N124" s="3"/>
      <c r="P124" s="3"/>
      <c r="Q124" s="3"/>
      <c r="R124" s="3"/>
    </row>
    <row r="125">
      <c r="A125" s="3"/>
      <c r="B125" s="3"/>
      <c r="C125" s="3"/>
      <c r="D125" s="190"/>
      <c r="E125" s="3"/>
      <c r="F125" s="3"/>
      <c r="G125" s="3"/>
      <c r="H125" s="3"/>
      <c r="I125" s="3"/>
      <c r="J125" s="3"/>
      <c r="K125" s="3"/>
      <c r="L125" s="3"/>
      <c r="M125" s="3"/>
      <c r="N125" s="3"/>
      <c r="P125" s="3"/>
      <c r="Q125" s="3"/>
      <c r="R125" s="3"/>
    </row>
    <row r="126">
      <c r="A126" s="3"/>
      <c r="B126" s="3"/>
      <c r="C126" s="3"/>
      <c r="D126" s="190"/>
      <c r="E126" s="3"/>
      <c r="F126" s="3"/>
      <c r="G126" s="3"/>
      <c r="H126" s="3"/>
      <c r="I126" s="3"/>
      <c r="J126" s="3"/>
      <c r="K126" s="3"/>
      <c r="L126" s="3"/>
      <c r="M126" s="3"/>
      <c r="N126" s="3"/>
      <c r="P126" s="3"/>
      <c r="Q126" s="3"/>
      <c r="R126" s="3"/>
    </row>
    <row r="127">
      <c r="A127" s="3"/>
      <c r="B127" s="3"/>
      <c r="C127" s="3"/>
      <c r="D127" s="190"/>
      <c r="E127" s="3"/>
      <c r="F127" s="3"/>
      <c r="G127" s="3"/>
      <c r="H127" s="3"/>
      <c r="I127" s="3"/>
      <c r="J127" s="3"/>
      <c r="K127" s="3"/>
      <c r="L127" s="3"/>
      <c r="M127" s="3"/>
      <c r="N127" s="3"/>
      <c r="P127" s="3"/>
      <c r="Q127" s="3"/>
      <c r="R127" s="3"/>
    </row>
    <row r="128">
      <c r="A128" s="3"/>
      <c r="B128" s="3"/>
      <c r="C128" s="3"/>
      <c r="D128" s="190"/>
      <c r="E128" s="3"/>
      <c r="F128" s="3"/>
      <c r="G128" s="3"/>
      <c r="H128" s="3"/>
      <c r="I128" s="3"/>
      <c r="J128" s="3"/>
      <c r="K128" s="3"/>
      <c r="L128" s="3"/>
      <c r="M128" s="3"/>
      <c r="N128" s="3"/>
      <c r="P128" s="3"/>
      <c r="Q128" s="3"/>
      <c r="R128" s="3"/>
    </row>
    <row r="129">
      <c r="A129" s="3"/>
      <c r="B129" s="3"/>
      <c r="C129" s="3"/>
      <c r="D129" s="190"/>
      <c r="E129" s="3"/>
      <c r="F129" s="3"/>
      <c r="G129" s="3"/>
      <c r="H129" s="3"/>
      <c r="I129" s="3"/>
      <c r="J129" s="3"/>
      <c r="K129" s="3"/>
      <c r="L129" s="3"/>
      <c r="M129" s="3"/>
      <c r="N129" s="3"/>
      <c r="P129" s="3"/>
      <c r="Q129" s="3"/>
      <c r="R129" s="3"/>
    </row>
    <row r="130">
      <c r="A130" s="3"/>
      <c r="B130" s="3"/>
      <c r="C130" s="3"/>
      <c r="D130" s="190"/>
      <c r="E130" s="3"/>
      <c r="F130" s="3"/>
      <c r="G130" s="3"/>
      <c r="H130" s="3"/>
      <c r="I130" s="3"/>
      <c r="J130" s="3"/>
      <c r="K130" s="3"/>
      <c r="L130" s="3"/>
      <c r="M130" s="3"/>
      <c r="N130" s="3"/>
      <c r="P130" s="3"/>
      <c r="Q130" s="3"/>
      <c r="R130" s="3"/>
    </row>
    <row r="131">
      <c r="A131" s="3"/>
      <c r="B131" s="3"/>
      <c r="C131" s="3"/>
      <c r="D131" s="190"/>
      <c r="E131" s="3"/>
      <c r="F131" s="3"/>
      <c r="G131" s="3"/>
      <c r="H131" s="3"/>
      <c r="I131" s="3"/>
      <c r="J131" s="3"/>
      <c r="K131" s="3"/>
      <c r="L131" s="3"/>
      <c r="M131" s="3"/>
      <c r="N131" s="3"/>
      <c r="P131" s="3"/>
      <c r="Q131" s="3"/>
      <c r="R131" s="3"/>
    </row>
    <row r="132">
      <c r="A132" s="3"/>
      <c r="B132" s="3"/>
      <c r="C132" s="3"/>
      <c r="D132" s="190"/>
      <c r="E132" s="3"/>
      <c r="F132" s="3"/>
      <c r="G132" s="3"/>
      <c r="H132" s="3"/>
      <c r="I132" s="3"/>
      <c r="J132" s="3"/>
      <c r="K132" s="3"/>
      <c r="L132" s="3"/>
      <c r="M132" s="3"/>
      <c r="N132" s="3"/>
      <c r="P132" s="3"/>
      <c r="Q132" s="3"/>
      <c r="R132" s="3"/>
    </row>
    <row r="133">
      <c r="A133" s="3"/>
      <c r="B133" s="3"/>
      <c r="C133" s="3"/>
      <c r="D133" s="190"/>
      <c r="E133" s="3"/>
      <c r="F133" s="3"/>
      <c r="G133" s="3"/>
      <c r="H133" s="3"/>
      <c r="I133" s="3"/>
      <c r="J133" s="3"/>
      <c r="K133" s="3"/>
      <c r="L133" s="3"/>
      <c r="M133" s="3"/>
      <c r="N133" s="3"/>
      <c r="P133" s="3"/>
      <c r="Q133" s="3"/>
      <c r="R133" s="3"/>
    </row>
    <row r="134">
      <c r="A134" s="3"/>
      <c r="B134" s="3"/>
      <c r="C134" s="3"/>
      <c r="D134" s="190"/>
      <c r="E134" s="3"/>
      <c r="F134" s="3"/>
      <c r="G134" s="3"/>
      <c r="H134" s="3"/>
      <c r="I134" s="3"/>
      <c r="J134" s="3"/>
      <c r="K134" s="3"/>
      <c r="L134" s="3"/>
      <c r="M134" s="3"/>
      <c r="N134" s="3"/>
      <c r="P134" s="3"/>
      <c r="Q134" s="3"/>
      <c r="R134" s="3"/>
    </row>
    <row r="135">
      <c r="A135" s="3"/>
      <c r="B135" s="3"/>
      <c r="C135" s="3"/>
      <c r="D135" s="190"/>
      <c r="E135" s="3"/>
      <c r="F135" s="3"/>
      <c r="G135" s="3"/>
      <c r="H135" s="3"/>
      <c r="I135" s="3"/>
      <c r="J135" s="3"/>
      <c r="K135" s="3"/>
      <c r="L135" s="3"/>
      <c r="M135" s="3"/>
      <c r="N135" s="3"/>
      <c r="P135" s="3"/>
      <c r="Q135" s="3"/>
      <c r="R135" s="3"/>
    </row>
    <row r="136">
      <c r="A136" s="3"/>
      <c r="B136" s="3"/>
      <c r="C136" s="3"/>
      <c r="D136" s="190"/>
      <c r="E136" s="3"/>
      <c r="F136" s="3"/>
      <c r="G136" s="3"/>
      <c r="H136" s="3"/>
      <c r="I136" s="3"/>
      <c r="J136" s="3"/>
      <c r="K136" s="3"/>
      <c r="L136" s="3"/>
      <c r="M136" s="3"/>
      <c r="N136" s="3"/>
      <c r="P136" s="3"/>
      <c r="Q136" s="3"/>
      <c r="R136" s="3"/>
    </row>
    <row r="137">
      <c r="A137" s="3"/>
      <c r="B137" s="3"/>
      <c r="C137" s="3"/>
      <c r="D137" s="190"/>
      <c r="E137" s="3"/>
      <c r="F137" s="3"/>
      <c r="G137" s="3"/>
      <c r="H137" s="3"/>
      <c r="I137" s="3"/>
      <c r="J137" s="3"/>
      <c r="K137" s="3"/>
      <c r="L137" s="3"/>
      <c r="M137" s="3"/>
      <c r="N137" s="3"/>
      <c r="P137" s="3"/>
      <c r="Q137" s="3"/>
      <c r="R137" s="3"/>
    </row>
    <row r="138">
      <c r="A138" s="3"/>
      <c r="B138" s="3"/>
      <c r="C138" s="3"/>
      <c r="D138" s="190"/>
      <c r="E138" s="3"/>
      <c r="F138" s="3"/>
      <c r="G138" s="3"/>
      <c r="H138" s="3"/>
      <c r="I138" s="3"/>
      <c r="J138" s="3"/>
      <c r="K138" s="3"/>
      <c r="L138" s="3"/>
      <c r="M138" s="3"/>
      <c r="N138" s="3"/>
      <c r="P138" s="3"/>
      <c r="Q138" s="3"/>
      <c r="R138" s="3"/>
    </row>
    <row r="139">
      <c r="A139" s="3"/>
      <c r="B139" s="3"/>
      <c r="C139" s="3"/>
      <c r="D139" s="190"/>
      <c r="E139" s="3"/>
      <c r="F139" s="3"/>
      <c r="G139" s="3"/>
      <c r="H139" s="3"/>
      <c r="I139" s="3"/>
      <c r="J139" s="3"/>
      <c r="K139" s="3"/>
      <c r="L139" s="3"/>
      <c r="M139" s="3"/>
      <c r="N139" s="3"/>
      <c r="P139" s="3"/>
      <c r="Q139" s="3"/>
      <c r="R139" s="3"/>
    </row>
    <row r="140">
      <c r="A140" s="3"/>
      <c r="B140" s="3"/>
      <c r="C140" s="3"/>
      <c r="D140" s="190"/>
      <c r="E140" s="3"/>
      <c r="F140" s="3"/>
      <c r="G140" s="3"/>
      <c r="H140" s="3"/>
      <c r="I140" s="3"/>
      <c r="J140" s="3"/>
      <c r="K140" s="3"/>
      <c r="L140" s="3"/>
      <c r="M140" s="3"/>
      <c r="N140" s="3"/>
      <c r="P140" s="3"/>
      <c r="Q140" s="3"/>
      <c r="R140" s="3"/>
    </row>
    <row r="141">
      <c r="A141" s="3"/>
      <c r="B141" s="3"/>
      <c r="C141" s="3"/>
      <c r="D141" s="190"/>
      <c r="E141" s="3"/>
      <c r="F141" s="3"/>
      <c r="G141" s="3"/>
      <c r="H141" s="3"/>
      <c r="I141" s="3"/>
      <c r="J141" s="3"/>
      <c r="K141" s="3"/>
      <c r="L141" s="3"/>
      <c r="M141" s="3"/>
      <c r="N141" s="3"/>
      <c r="P141" s="3"/>
      <c r="Q141" s="3"/>
      <c r="R141" s="3"/>
    </row>
    <row r="142">
      <c r="A142" s="3"/>
      <c r="B142" s="3"/>
      <c r="C142" s="3"/>
      <c r="D142" s="190"/>
      <c r="E142" s="3"/>
      <c r="F142" s="3"/>
      <c r="G142" s="3"/>
      <c r="H142" s="3"/>
      <c r="I142" s="3"/>
      <c r="J142" s="3"/>
      <c r="K142" s="3"/>
      <c r="L142" s="3"/>
      <c r="M142" s="3"/>
      <c r="N142" s="3"/>
      <c r="P142" s="3"/>
      <c r="Q142" s="3"/>
      <c r="R142" s="3"/>
    </row>
    <row r="143">
      <c r="A143" s="3"/>
      <c r="B143" s="3"/>
      <c r="C143" s="3"/>
      <c r="D143" s="190"/>
      <c r="E143" s="3"/>
      <c r="F143" s="3"/>
      <c r="G143" s="3"/>
      <c r="H143" s="3"/>
      <c r="I143" s="3"/>
      <c r="J143" s="3"/>
      <c r="K143" s="3"/>
      <c r="L143" s="3"/>
      <c r="M143" s="3"/>
      <c r="N143" s="3"/>
      <c r="P143" s="3"/>
      <c r="Q143" s="3"/>
      <c r="R143" s="3"/>
    </row>
    <row r="144">
      <c r="A144" s="3"/>
      <c r="B144" s="3"/>
      <c r="C144" s="3"/>
      <c r="D144" s="190"/>
      <c r="E144" s="3"/>
      <c r="F144" s="3"/>
      <c r="G144" s="3"/>
      <c r="H144" s="3"/>
      <c r="I144" s="3"/>
      <c r="J144" s="3"/>
      <c r="K144" s="3"/>
      <c r="L144" s="3"/>
      <c r="M144" s="3"/>
      <c r="N144" s="3"/>
      <c r="P144" s="3"/>
      <c r="Q144" s="3"/>
      <c r="R144" s="3"/>
    </row>
    <row r="145">
      <c r="A145" s="3"/>
      <c r="B145" s="3"/>
      <c r="C145" s="3"/>
      <c r="D145" s="190"/>
      <c r="E145" s="3"/>
      <c r="F145" s="3"/>
      <c r="G145" s="3"/>
      <c r="H145" s="3"/>
      <c r="I145" s="3"/>
      <c r="J145" s="3"/>
      <c r="K145" s="3"/>
      <c r="L145" s="3"/>
      <c r="M145" s="3"/>
      <c r="N145" s="3"/>
      <c r="P145" s="3"/>
      <c r="Q145" s="3"/>
      <c r="R145" s="3"/>
    </row>
    <row r="146">
      <c r="A146" s="3"/>
      <c r="B146" s="3"/>
      <c r="C146" s="3"/>
      <c r="D146" s="190"/>
      <c r="E146" s="3"/>
      <c r="F146" s="3"/>
      <c r="G146" s="3"/>
      <c r="H146" s="3"/>
      <c r="I146" s="3"/>
      <c r="J146" s="3"/>
      <c r="K146" s="3"/>
      <c r="L146" s="3"/>
      <c r="M146" s="3"/>
      <c r="N146" s="3"/>
      <c r="P146" s="3"/>
      <c r="Q146" s="3"/>
      <c r="R146" s="3"/>
    </row>
    <row r="147">
      <c r="A147" s="3"/>
      <c r="B147" s="3"/>
      <c r="C147" s="3"/>
      <c r="D147" s="190"/>
      <c r="E147" s="3"/>
      <c r="F147" s="3"/>
      <c r="G147" s="3"/>
      <c r="H147" s="3"/>
      <c r="I147" s="3"/>
      <c r="J147" s="3"/>
      <c r="K147" s="3"/>
      <c r="L147" s="3"/>
      <c r="M147" s="3"/>
      <c r="N147" s="3"/>
      <c r="P147" s="3"/>
      <c r="Q147" s="3"/>
      <c r="R147" s="3"/>
    </row>
    <row r="148">
      <c r="A148" s="3"/>
      <c r="B148" s="3"/>
      <c r="C148" s="3"/>
      <c r="D148" s="190"/>
      <c r="E148" s="3"/>
      <c r="F148" s="3"/>
      <c r="G148" s="3"/>
      <c r="H148" s="3"/>
      <c r="I148" s="3"/>
      <c r="J148" s="3"/>
      <c r="K148" s="3"/>
      <c r="L148" s="3"/>
      <c r="M148" s="3"/>
      <c r="N148" s="3"/>
      <c r="P148" s="3"/>
      <c r="Q148" s="3"/>
      <c r="R148" s="3"/>
    </row>
    <row r="149">
      <c r="A149" s="3"/>
      <c r="B149" s="3"/>
      <c r="C149" s="3"/>
      <c r="D149" s="190"/>
      <c r="E149" s="3"/>
      <c r="F149" s="3"/>
      <c r="G149" s="3"/>
      <c r="H149" s="3"/>
      <c r="I149" s="3"/>
      <c r="J149" s="3"/>
      <c r="K149" s="3"/>
      <c r="L149" s="3"/>
      <c r="M149" s="3"/>
      <c r="N149" s="3"/>
      <c r="P149" s="3"/>
      <c r="Q149" s="3"/>
      <c r="R149" s="3"/>
    </row>
    <row r="150">
      <c r="A150" s="3"/>
      <c r="B150" s="3"/>
      <c r="C150" s="3"/>
      <c r="D150" s="190"/>
      <c r="E150" s="3"/>
      <c r="F150" s="3"/>
      <c r="G150" s="3"/>
      <c r="H150" s="3"/>
      <c r="I150" s="3"/>
      <c r="J150" s="3"/>
      <c r="K150" s="3"/>
      <c r="L150" s="3"/>
      <c r="M150" s="3"/>
      <c r="N150" s="3"/>
      <c r="P150" s="3"/>
      <c r="Q150" s="3"/>
      <c r="R150" s="3"/>
    </row>
    <row r="151">
      <c r="A151" s="3"/>
      <c r="B151" s="3"/>
      <c r="C151" s="3"/>
      <c r="D151" s="190"/>
      <c r="E151" s="3"/>
      <c r="F151" s="3"/>
      <c r="G151" s="3"/>
      <c r="H151" s="3"/>
      <c r="I151" s="3"/>
      <c r="J151" s="3"/>
      <c r="K151" s="3"/>
      <c r="L151" s="3"/>
      <c r="M151" s="3"/>
      <c r="N151" s="3"/>
      <c r="P151" s="3"/>
      <c r="Q151" s="3"/>
      <c r="R151" s="3"/>
    </row>
    <row r="152">
      <c r="A152" s="3"/>
      <c r="B152" s="3"/>
      <c r="C152" s="3"/>
      <c r="D152" s="190"/>
      <c r="E152" s="3"/>
      <c r="F152" s="3"/>
      <c r="G152" s="3"/>
      <c r="H152" s="3"/>
      <c r="I152" s="3"/>
      <c r="J152" s="3"/>
      <c r="K152" s="3"/>
      <c r="L152" s="3"/>
      <c r="M152" s="3"/>
      <c r="N152" s="3"/>
      <c r="P152" s="3"/>
      <c r="Q152" s="3"/>
      <c r="R152" s="3"/>
    </row>
    <row r="153">
      <c r="A153" s="3"/>
      <c r="B153" s="3"/>
      <c r="C153" s="3"/>
      <c r="D153" s="190"/>
      <c r="E153" s="3"/>
      <c r="F153" s="3"/>
      <c r="G153" s="3"/>
      <c r="H153" s="3"/>
      <c r="I153" s="3"/>
      <c r="J153" s="3"/>
      <c r="K153" s="3"/>
      <c r="L153" s="3"/>
      <c r="M153" s="3"/>
      <c r="N153" s="3"/>
      <c r="P153" s="3"/>
      <c r="Q153" s="3"/>
      <c r="R153" s="3"/>
    </row>
    <row r="154">
      <c r="A154" s="3"/>
      <c r="B154" s="3"/>
      <c r="C154" s="3"/>
      <c r="D154" s="190"/>
      <c r="E154" s="3"/>
      <c r="F154" s="3"/>
      <c r="G154" s="3"/>
      <c r="H154" s="3"/>
      <c r="I154" s="3"/>
      <c r="J154" s="3"/>
      <c r="K154" s="3"/>
      <c r="L154" s="3"/>
      <c r="M154" s="3"/>
      <c r="N154" s="3"/>
      <c r="P154" s="3"/>
      <c r="Q154" s="3"/>
      <c r="R154" s="3"/>
    </row>
    <row r="155">
      <c r="A155" s="3"/>
      <c r="B155" s="3"/>
      <c r="C155" s="3"/>
      <c r="D155" s="190"/>
      <c r="E155" s="3"/>
      <c r="F155" s="3"/>
      <c r="G155" s="3"/>
      <c r="H155" s="3"/>
      <c r="I155" s="3"/>
      <c r="J155" s="3"/>
      <c r="K155" s="3"/>
      <c r="L155" s="3"/>
      <c r="M155" s="3"/>
      <c r="N155" s="3"/>
      <c r="P155" s="3"/>
      <c r="Q155" s="3"/>
      <c r="R155" s="3"/>
    </row>
    <row r="156">
      <c r="A156" s="3"/>
      <c r="B156" s="3"/>
      <c r="C156" s="3"/>
      <c r="D156" s="190"/>
      <c r="E156" s="3"/>
      <c r="F156" s="3"/>
      <c r="G156" s="3"/>
      <c r="H156" s="3"/>
      <c r="I156" s="3"/>
      <c r="J156" s="3"/>
      <c r="K156" s="3"/>
      <c r="L156" s="3"/>
      <c r="M156" s="3"/>
      <c r="N156" s="3"/>
      <c r="P156" s="3"/>
      <c r="Q156" s="3"/>
      <c r="R156" s="3"/>
    </row>
    <row r="157">
      <c r="A157" s="3"/>
      <c r="B157" s="3"/>
      <c r="C157" s="3"/>
      <c r="D157" s="190"/>
      <c r="E157" s="3"/>
      <c r="F157" s="3"/>
      <c r="G157" s="3"/>
      <c r="H157" s="3"/>
      <c r="I157" s="3"/>
      <c r="J157" s="3"/>
      <c r="K157" s="3"/>
      <c r="L157" s="3"/>
      <c r="M157" s="3"/>
      <c r="N157" s="3"/>
      <c r="P157" s="3"/>
      <c r="Q157" s="3"/>
      <c r="R157" s="3"/>
    </row>
    <row r="158">
      <c r="A158" s="3"/>
      <c r="B158" s="3"/>
      <c r="C158" s="3"/>
      <c r="D158" s="190"/>
      <c r="E158" s="3"/>
      <c r="F158" s="3"/>
      <c r="G158" s="3"/>
      <c r="H158" s="3"/>
      <c r="I158" s="3"/>
      <c r="J158" s="3"/>
      <c r="K158" s="3"/>
      <c r="L158" s="3"/>
      <c r="M158" s="3"/>
      <c r="N158" s="3"/>
      <c r="P158" s="3"/>
      <c r="Q158" s="3"/>
      <c r="R158" s="3"/>
    </row>
    <row r="159">
      <c r="A159" s="3"/>
      <c r="B159" s="3"/>
      <c r="C159" s="3"/>
      <c r="D159" s="190"/>
      <c r="E159" s="3"/>
      <c r="F159" s="3"/>
      <c r="G159" s="3"/>
      <c r="H159" s="3"/>
      <c r="I159" s="3"/>
      <c r="J159" s="3"/>
      <c r="K159" s="3"/>
      <c r="L159" s="3"/>
      <c r="M159" s="3"/>
      <c r="N159" s="3"/>
      <c r="P159" s="3"/>
      <c r="Q159" s="3"/>
      <c r="R159" s="3"/>
    </row>
    <row r="160">
      <c r="A160" s="3"/>
      <c r="B160" s="3"/>
      <c r="C160" s="3"/>
      <c r="D160" s="190"/>
      <c r="E160" s="3"/>
      <c r="F160" s="3"/>
      <c r="G160" s="3"/>
      <c r="H160" s="3"/>
      <c r="I160" s="3"/>
      <c r="J160" s="3"/>
      <c r="K160" s="3"/>
      <c r="L160" s="3"/>
      <c r="M160" s="3"/>
      <c r="N160" s="3"/>
      <c r="P160" s="3"/>
      <c r="Q160" s="3"/>
      <c r="R160" s="3"/>
    </row>
    <row r="161">
      <c r="A161" s="3"/>
      <c r="B161" s="3"/>
      <c r="C161" s="3"/>
      <c r="D161" s="190"/>
      <c r="E161" s="3"/>
      <c r="F161" s="3"/>
      <c r="G161" s="3"/>
      <c r="H161" s="3"/>
      <c r="I161" s="3"/>
      <c r="J161" s="3"/>
      <c r="K161" s="3"/>
      <c r="L161" s="3"/>
      <c r="M161" s="3"/>
      <c r="N161" s="3"/>
      <c r="P161" s="3"/>
      <c r="Q161" s="3"/>
      <c r="R161" s="3"/>
    </row>
    <row r="162">
      <c r="A162" s="3"/>
      <c r="B162" s="3"/>
      <c r="C162" s="3"/>
      <c r="D162" s="190"/>
      <c r="E162" s="3"/>
      <c r="F162" s="3"/>
      <c r="G162" s="3"/>
      <c r="H162" s="3"/>
      <c r="I162" s="3"/>
      <c r="J162" s="3"/>
      <c r="K162" s="3"/>
      <c r="L162" s="3"/>
      <c r="M162" s="3"/>
      <c r="N162" s="3"/>
      <c r="P162" s="3"/>
      <c r="Q162" s="3"/>
      <c r="R162" s="3"/>
    </row>
    <row r="163">
      <c r="A163" s="3"/>
      <c r="B163" s="3"/>
      <c r="C163" s="3"/>
      <c r="D163" s="190"/>
      <c r="E163" s="3"/>
      <c r="F163" s="3"/>
      <c r="G163" s="3"/>
      <c r="H163" s="3"/>
      <c r="I163" s="3"/>
      <c r="J163" s="3"/>
      <c r="K163" s="3"/>
      <c r="L163" s="3"/>
      <c r="M163" s="3"/>
      <c r="N163" s="3"/>
      <c r="P163" s="3"/>
      <c r="Q163" s="3"/>
      <c r="R163" s="3"/>
    </row>
    <row r="164">
      <c r="A164" s="3"/>
      <c r="B164" s="3"/>
      <c r="C164" s="3"/>
      <c r="D164" s="190"/>
      <c r="E164" s="3"/>
      <c r="F164" s="3"/>
      <c r="G164" s="3"/>
      <c r="H164" s="3"/>
      <c r="I164" s="3"/>
      <c r="J164" s="3"/>
      <c r="K164" s="3"/>
      <c r="L164" s="3"/>
      <c r="M164" s="3"/>
      <c r="N164" s="3"/>
      <c r="P164" s="3"/>
      <c r="Q164" s="3"/>
      <c r="R164" s="3"/>
    </row>
    <row r="165">
      <c r="A165" s="3"/>
      <c r="B165" s="3"/>
      <c r="C165" s="3"/>
      <c r="D165" s="190"/>
      <c r="E165" s="3"/>
      <c r="F165" s="3"/>
      <c r="G165" s="3"/>
      <c r="H165" s="3"/>
      <c r="I165" s="3"/>
      <c r="J165" s="3"/>
      <c r="K165" s="3"/>
      <c r="L165" s="3"/>
      <c r="M165" s="3"/>
      <c r="N165" s="3"/>
      <c r="P165" s="3"/>
      <c r="Q165" s="3"/>
      <c r="R165" s="3"/>
    </row>
    <row r="166">
      <c r="A166" s="3"/>
      <c r="B166" s="3"/>
      <c r="C166" s="3"/>
      <c r="D166" s="190"/>
      <c r="E166" s="3"/>
      <c r="F166" s="3"/>
      <c r="G166" s="3"/>
      <c r="H166" s="3"/>
      <c r="I166" s="3"/>
      <c r="J166" s="3"/>
      <c r="K166" s="3"/>
      <c r="L166" s="3"/>
      <c r="M166" s="3"/>
      <c r="N166" s="3"/>
      <c r="P166" s="3"/>
      <c r="Q166" s="3"/>
      <c r="R166" s="3"/>
    </row>
    <row r="167">
      <c r="A167" s="3"/>
      <c r="B167" s="3"/>
      <c r="C167" s="3"/>
      <c r="D167" s="190"/>
      <c r="E167" s="3"/>
      <c r="F167" s="3"/>
      <c r="G167" s="3"/>
      <c r="H167" s="3"/>
      <c r="I167" s="3"/>
      <c r="J167" s="3"/>
      <c r="K167" s="3"/>
      <c r="L167" s="3"/>
      <c r="M167" s="3"/>
      <c r="N167" s="3"/>
      <c r="P167" s="3"/>
      <c r="Q167" s="3"/>
      <c r="R167" s="3"/>
    </row>
    <row r="168">
      <c r="A168" s="3"/>
      <c r="B168" s="3"/>
      <c r="C168" s="3"/>
      <c r="D168" s="190"/>
      <c r="E168" s="3"/>
      <c r="F168" s="3"/>
      <c r="G168" s="3"/>
      <c r="H168" s="3"/>
      <c r="I168" s="3"/>
      <c r="J168" s="3"/>
      <c r="K168" s="3"/>
      <c r="L168" s="3"/>
      <c r="M168" s="3"/>
      <c r="N168" s="3"/>
      <c r="P168" s="3"/>
      <c r="Q168" s="3"/>
      <c r="R168" s="3"/>
    </row>
    <row r="169">
      <c r="A169" s="3"/>
      <c r="B169" s="3"/>
      <c r="C169" s="3"/>
      <c r="D169" s="190"/>
      <c r="E169" s="3"/>
      <c r="F169" s="3"/>
      <c r="G169" s="3"/>
      <c r="H169" s="3"/>
      <c r="I169" s="3"/>
      <c r="J169" s="3"/>
      <c r="K169" s="3"/>
      <c r="L169" s="3"/>
      <c r="M169" s="3"/>
      <c r="N169" s="3"/>
      <c r="P169" s="3"/>
      <c r="Q169" s="3"/>
      <c r="R169" s="3"/>
    </row>
    <row r="170">
      <c r="A170" s="3"/>
      <c r="B170" s="3"/>
      <c r="C170" s="3"/>
      <c r="D170" s="190"/>
      <c r="E170" s="3"/>
      <c r="F170" s="3"/>
      <c r="G170" s="3"/>
      <c r="H170" s="3"/>
      <c r="I170" s="3"/>
      <c r="J170" s="3"/>
      <c r="K170" s="3"/>
      <c r="L170" s="3"/>
      <c r="M170" s="3"/>
      <c r="N170" s="3"/>
      <c r="P170" s="3"/>
      <c r="Q170" s="3"/>
      <c r="R170" s="3"/>
    </row>
    <row r="171">
      <c r="A171" s="3"/>
      <c r="B171" s="3"/>
      <c r="C171" s="3"/>
      <c r="D171" s="190"/>
      <c r="E171" s="3"/>
      <c r="F171" s="3"/>
      <c r="G171" s="3"/>
      <c r="H171" s="3"/>
      <c r="I171" s="3"/>
      <c r="J171" s="3"/>
      <c r="K171" s="3"/>
      <c r="L171" s="3"/>
      <c r="M171" s="3"/>
      <c r="N171" s="3"/>
      <c r="P171" s="3"/>
      <c r="Q171" s="3"/>
      <c r="R171" s="3"/>
    </row>
    <row r="172">
      <c r="A172" s="3"/>
      <c r="B172" s="3"/>
      <c r="C172" s="3"/>
      <c r="D172" s="190"/>
      <c r="E172" s="3"/>
      <c r="F172" s="3"/>
      <c r="G172" s="3"/>
      <c r="H172" s="3"/>
      <c r="I172" s="3"/>
      <c r="J172" s="3"/>
      <c r="K172" s="3"/>
      <c r="L172" s="3"/>
      <c r="M172" s="3"/>
      <c r="N172" s="3"/>
      <c r="P172" s="3"/>
      <c r="Q172" s="3"/>
      <c r="R172" s="3"/>
    </row>
    <row r="173">
      <c r="A173" s="3"/>
      <c r="B173" s="3"/>
      <c r="C173" s="3"/>
      <c r="D173" s="190"/>
      <c r="E173" s="3"/>
      <c r="F173" s="3"/>
      <c r="G173" s="3"/>
      <c r="H173" s="3"/>
      <c r="I173" s="3"/>
      <c r="J173" s="3"/>
      <c r="K173" s="3"/>
      <c r="L173" s="3"/>
      <c r="M173" s="3"/>
      <c r="N173" s="3"/>
      <c r="P173" s="3"/>
      <c r="Q173" s="3"/>
      <c r="R173" s="3"/>
    </row>
    <row r="174">
      <c r="A174" s="3"/>
      <c r="B174" s="3"/>
      <c r="C174" s="3"/>
      <c r="D174" s="190"/>
      <c r="E174" s="3"/>
      <c r="F174" s="3"/>
      <c r="G174" s="3"/>
      <c r="H174" s="3"/>
      <c r="I174" s="3"/>
      <c r="J174" s="3"/>
      <c r="K174" s="3"/>
      <c r="L174" s="3"/>
      <c r="M174" s="3"/>
      <c r="N174" s="3"/>
      <c r="P174" s="3"/>
      <c r="Q174" s="3"/>
      <c r="R174" s="3"/>
    </row>
    <row r="175">
      <c r="A175" s="3"/>
      <c r="B175" s="3"/>
      <c r="C175" s="3"/>
      <c r="D175" s="190"/>
      <c r="E175" s="3"/>
      <c r="F175" s="3"/>
      <c r="G175" s="3"/>
      <c r="H175" s="3"/>
      <c r="I175" s="3"/>
      <c r="J175" s="3"/>
      <c r="K175" s="3"/>
      <c r="L175" s="3"/>
      <c r="M175" s="3"/>
      <c r="N175" s="3"/>
      <c r="P175" s="3"/>
      <c r="Q175" s="3"/>
      <c r="R175" s="3"/>
    </row>
    <row r="176">
      <c r="A176" s="3"/>
      <c r="B176" s="3"/>
      <c r="C176" s="3"/>
      <c r="D176" s="190"/>
      <c r="E176" s="3"/>
      <c r="F176" s="3"/>
      <c r="G176" s="3"/>
      <c r="H176" s="3"/>
      <c r="I176" s="3"/>
      <c r="J176" s="3"/>
      <c r="K176" s="3"/>
      <c r="L176" s="3"/>
      <c r="M176" s="3"/>
      <c r="N176" s="3"/>
      <c r="P176" s="3"/>
      <c r="Q176" s="3"/>
      <c r="R176" s="3"/>
    </row>
    <row r="177">
      <c r="A177" s="3"/>
      <c r="B177" s="3"/>
      <c r="C177" s="3"/>
      <c r="D177" s="190"/>
      <c r="E177" s="3"/>
      <c r="F177" s="3"/>
      <c r="G177" s="3"/>
      <c r="H177" s="3"/>
      <c r="I177" s="3"/>
      <c r="J177" s="3"/>
      <c r="K177" s="3"/>
      <c r="L177" s="3"/>
      <c r="M177" s="3"/>
      <c r="N177" s="3"/>
      <c r="P177" s="3"/>
      <c r="Q177" s="3"/>
      <c r="R177" s="3"/>
    </row>
    <row r="178">
      <c r="A178" s="3"/>
      <c r="B178" s="3"/>
      <c r="C178" s="3"/>
      <c r="D178" s="190"/>
      <c r="E178" s="3"/>
      <c r="F178" s="3"/>
      <c r="G178" s="3"/>
      <c r="H178" s="3"/>
      <c r="I178" s="3"/>
      <c r="J178" s="3"/>
      <c r="K178" s="3"/>
      <c r="L178" s="3"/>
      <c r="M178" s="3"/>
      <c r="N178" s="3"/>
      <c r="P178" s="3"/>
      <c r="Q178" s="3"/>
      <c r="R178" s="3"/>
    </row>
    <row r="179">
      <c r="A179" s="3"/>
      <c r="B179" s="3"/>
      <c r="C179" s="3"/>
      <c r="D179" s="190"/>
      <c r="E179" s="3"/>
      <c r="F179" s="3"/>
      <c r="G179" s="3"/>
      <c r="H179" s="3"/>
      <c r="I179" s="3"/>
      <c r="J179" s="3"/>
      <c r="K179" s="3"/>
      <c r="L179" s="3"/>
      <c r="M179" s="3"/>
      <c r="N179" s="3"/>
      <c r="P179" s="3"/>
      <c r="Q179" s="3"/>
      <c r="R179" s="3"/>
    </row>
    <row r="180">
      <c r="A180" s="3"/>
      <c r="B180" s="3"/>
      <c r="C180" s="3"/>
      <c r="D180" s="190"/>
      <c r="E180" s="3"/>
      <c r="F180" s="3"/>
      <c r="G180" s="3"/>
      <c r="H180" s="3"/>
      <c r="I180" s="3"/>
      <c r="J180" s="3"/>
      <c r="K180" s="3"/>
      <c r="L180" s="3"/>
      <c r="M180" s="3"/>
      <c r="N180" s="3"/>
      <c r="P180" s="3"/>
      <c r="Q180" s="3"/>
      <c r="R180" s="3"/>
    </row>
    <row r="181">
      <c r="A181" s="3"/>
      <c r="B181" s="3"/>
      <c r="C181" s="3"/>
      <c r="D181" s="190"/>
      <c r="E181" s="3"/>
      <c r="F181" s="3"/>
      <c r="G181" s="3"/>
      <c r="H181" s="3"/>
      <c r="I181" s="3"/>
      <c r="J181" s="3"/>
      <c r="K181" s="3"/>
      <c r="L181" s="3"/>
      <c r="M181" s="3"/>
      <c r="N181" s="3"/>
      <c r="P181" s="3"/>
      <c r="Q181" s="3"/>
      <c r="R181" s="3"/>
    </row>
    <row r="182">
      <c r="A182" s="3"/>
      <c r="B182" s="3"/>
      <c r="C182" s="3"/>
      <c r="D182" s="190"/>
      <c r="E182" s="3"/>
      <c r="F182" s="3"/>
      <c r="G182" s="3"/>
      <c r="H182" s="3"/>
      <c r="I182" s="3"/>
      <c r="J182" s="3"/>
      <c r="K182" s="3"/>
      <c r="L182" s="3"/>
      <c r="M182" s="3"/>
      <c r="N182" s="3"/>
      <c r="P182" s="3"/>
      <c r="Q182" s="3"/>
      <c r="R182" s="3"/>
    </row>
    <row r="183">
      <c r="A183" s="3"/>
      <c r="B183" s="3"/>
      <c r="C183" s="3"/>
      <c r="D183" s="190"/>
      <c r="E183" s="3"/>
      <c r="F183" s="3"/>
      <c r="G183" s="3"/>
      <c r="H183" s="3"/>
      <c r="I183" s="3"/>
      <c r="J183" s="3"/>
      <c r="K183" s="3"/>
      <c r="L183" s="3"/>
      <c r="M183" s="3"/>
      <c r="N183" s="3"/>
      <c r="P183" s="3"/>
      <c r="Q183" s="3"/>
      <c r="R183" s="3"/>
    </row>
    <row r="184">
      <c r="A184" s="3"/>
      <c r="B184" s="3"/>
      <c r="C184" s="3"/>
      <c r="D184" s="190"/>
      <c r="E184" s="3"/>
      <c r="F184" s="3"/>
      <c r="G184" s="3"/>
      <c r="H184" s="3"/>
      <c r="I184" s="3"/>
      <c r="J184" s="3"/>
      <c r="K184" s="3"/>
      <c r="L184" s="3"/>
      <c r="M184" s="3"/>
      <c r="N184" s="3"/>
      <c r="P184" s="3"/>
      <c r="Q184" s="3"/>
      <c r="R184" s="3"/>
    </row>
    <row r="185">
      <c r="A185" s="3"/>
      <c r="B185" s="3"/>
      <c r="C185" s="3"/>
      <c r="D185" s="190"/>
      <c r="E185" s="3"/>
      <c r="F185" s="3"/>
      <c r="G185" s="3"/>
      <c r="H185" s="3"/>
      <c r="I185" s="3"/>
      <c r="J185" s="3"/>
      <c r="K185" s="3"/>
      <c r="L185" s="3"/>
      <c r="M185" s="3"/>
      <c r="N185" s="3"/>
      <c r="P185" s="3"/>
      <c r="Q185" s="3"/>
      <c r="R185" s="3"/>
    </row>
    <row r="186">
      <c r="A186" s="3"/>
      <c r="B186" s="3"/>
      <c r="C186" s="3"/>
      <c r="D186" s="190"/>
      <c r="E186" s="3"/>
      <c r="F186" s="3"/>
      <c r="G186" s="3"/>
      <c r="H186" s="3"/>
      <c r="I186" s="3"/>
      <c r="J186" s="3"/>
      <c r="K186" s="3"/>
      <c r="L186" s="3"/>
      <c r="M186" s="3"/>
      <c r="N186" s="3"/>
      <c r="P186" s="3"/>
      <c r="Q186" s="3"/>
      <c r="R186" s="3"/>
    </row>
    <row r="187">
      <c r="A187" s="3"/>
      <c r="B187" s="3"/>
      <c r="C187" s="3"/>
      <c r="D187" s="190"/>
      <c r="E187" s="3"/>
      <c r="F187" s="3"/>
      <c r="G187" s="3"/>
      <c r="H187" s="3"/>
      <c r="I187" s="3"/>
      <c r="J187" s="3"/>
      <c r="K187" s="3"/>
      <c r="L187" s="3"/>
      <c r="M187" s="3"/>
      <c r="N187" s="3"/>
      <c r="P187" s="3"/>
      <c r="Q187" s="3"/>
      <c r="R187" s="3"/>
    </row>
    <row r="188">
      <c r="A188" s="3"/>
      <c r="B188" s="3"/>
      <c r="C188" s="3"/>
      <c r="D188" s="190"/>
      <c r="E188" s="3"/>
      <c r="F188" s="3"/>
      <c r="G188" s="3"/>
      <c r="H188" s="3"/>
      <c r="I188" s="3"/>
      <c r="J188" s="3"/>
      <c r="K188" s="3"/>
      <c r="L188" s="3"/>
      <c r="M188" s="3"/>
      <c r="N188" s="3"/>
      <c r="P188" s="3"/>
      <c r="Q188" s="3"/>
      <c r="R188" s="3"/>
    </row>
    <row r="189">
      <c r="A189" s="3"/>
      <c r="B189" s="3"/>
      <c r="C189" s="3"/>
      <c r="D189" s="190"/>
      <c r="E189" s="3"/>
      <c r="F189" s="3"/>
      <c r="G189" s="3"/>
      <c r="H189" s="3"/>
      <c r="I189" s="3"/>
      <c r="J189" s="3"/>
      <c r="K189" s="3"/>
      <c r="L189" s="3"/>
      <c r="M189" s="3"/>
      <c r="N189" s="3"/>
      <c r="P189" s="3"/>
      <c r="Q189" s="3"/>
      <c r="R189" s="3"/>
    </row>
    <row r="190">
      <c r="A190" s="3"/>
      <c r="B190" s="3"/>
      <c r="C190" s="3"/>
      <c r="D190" s="190"/>
      <c r="E190" s="3"/>
      <c r="F190" s="3"/>
      <c r="G190" s="3"/>
      <c r="H190" s="3"/>
      <c r="I190" s="3"/>
      <c r="J190" s="3"/>
      <c r="K190" s="3"/>
      <c r="L190" s="3"/>
      <c r="M190" s="3"/>
      <c r="N190" s="3"/>
      <c r="P190" s="3"/>
      <c r="Q190" s="3"/>
      <c r="R190" s="3"/>
    </row>
    <row r="191">
      <c r="A191" s="3"/>
      <c r="B191" s="3"/>
      <c r="C191" s="3"/>
      <c r="D191" s="190"/>
      <c r="E191" s="3"/>
      <c r="F191" s="3"/>
      <c r="G191" s="3"/>
      <c r="H191" s="3"/>
      <c r="I191" s="3"/>
      <c r="J191" s="3"/>
      <c r="K191" s="3"/>
      <c r="L191" s="3"/>
      <c r="M191" s="3"/>
      <c r="N191" s="3"/>
      <c r="P191" s="3"/>
      <c r="Q191" s="3"/>
      <c r="R191" s="3"/>
    </row>
    <row r="192">
      <c r="A192" s="3"/>
      <c r="B192" s="3"/>
      <c r="C192" s="3"/>
      <c r="D192" s="190"/>
      <c r="E192" s="3"/>
      <c r="F192" s="3"/>
      <c r="G192" s="3"/>
      <c r="H192" s="3"/>
      <c r="I192" s="3"/>
      <c r="J192" s="3"/>
      <c r="K192" s="3"/>
      <c r="L192" s="3"/>
      <c r="M192" s="3"/>
      <c r="N192" s="3"/>
      <c r="P192" s="3"/>
      <c r="Q192" s="3"/>
      <c r="R192" s="3"/>
    </row>
    <row r="193">
      <c r="A193" s="3"/>
      <c r="B193" s="3"/>
      <c r="C193" s="3"/>
      <c r="D193" s="190"/>
      <c r="E193" s="3"/>
      <c r="F193" s="3"/>
      <c r="G193" s="3"/>
      <c r="H193" s="3"/>
      <c r="I193" s="3"/>
      <c r="J193" s="3"/>
      <c r="K193" s="3"/>
      <c r="L193" s="3"/>
      <c r="M193" s="3"/>
      <c r="N193" s="3"/>
      <c r="P193" s="3"/>
      <c r="Q193" s="3"/>
      <c r="R193" s="3"/>
    </row>
    <row r="194">
      <c r="A194" s="3"/>
      <c r="B194" s="3"/>
      <c r="C194" s="3"/>
      <c r="D194" s="190"/>
      <c r="E194" s="3"/>
      <c r="F194" s="3"/>
      <c r="G194" s="3"/>
      <c r="H194" s="3"/>
      <c r="I194" s="3"/>
      <c r="J194" s="3"/>
      <c r="K194" s="3"/>
      <c r="L194" s="3"/>
      <c r="M194" s="3"/>
      <c r="N194" s="3"/>
      <c r="P194" s="3"/>
      <c r="Q194" s="3"/>
      <c r="R194" s="3"/>
    </row>
    <row r="195">
      <c r="A195" s="3"/>
      <c r="B195" s="3"/>
      <c r="C195" s="3"/>
      <c r="D195" s="190"/>
      <c r="E195" s="3"/>
      <c r="F195" s="3"/>
      <c r="G195" s="3"/>
      <c r="H195" s="3"/>
      <c r="I195" s="3"/>
      <c r="J195" s="3"/>
      <c r="K195" s="3"/>
      <c r="L195" s="3"/>
      <c r="M195" s="3"/>
      <c r="N195" s="3"/>
      <c r="P195" s="3"/>
      <c r="Q195" s="3"/>
      <c r="R195" s="3"/>
    </row>
    <row r="196">
      <c r="A196" s="3"/>
      <c r="B196" s="3"/>
      <c r="C196" s="3"/>
      <c r="D196" s="190"/>
      <c r="E196" s="3"/>
      <c r="F196" s="3"/>
      <c r="G196" s="3"/>
      <c r="H196" s="3"/>
      <c r="I196" s="3"/>
      <c r="J196" s="3"/>
      <c r="K196" s="3"/>
      <c r="L196" s="3"/>
      <c r="M196" s="3"/>
      <c r="N196" s="3"/>
      <c r="P196" s="3"/>
      <c r="Q196" s="3"/>
      <c r="R196" s="3"/>
    </row>
    <row r="197">
      <c r="A197" s="3"/>
      <c r="B197" s="3"/>
      <c r="C197" s="3"/>
      <c r="D197" s="190"/>
      <c r="E197" s="3"/>
      <c r="F197" s="3"/>
      <c r="G197" s="3"/>
      <c r="H197" s="3"/>
      <c r="I197" s="3"/>
      <c r="J197" s="3"/>
      <c r="K197" s="3"/>
      <c r="L197" s="3"/>
      <c r="M197" s="3"/>
      <c r="N197" s="3"/>
      <c r="P197" s="3"/>
      <c r="Q197" s="3"/>
      <c r="R197" s="3"/>
    </row>
    <row r="198">
      <c r="A198" s="3"/>
      <c r="B198" s="3"/>
      <c r="C198" s="3"/>
      <c r="D198" s="190"/>
      <c r="E198" s="3"/>
      <c r="F198" s="3"/>
      <c r="G198" s="3"/>
      <c r="H198" s="3"/>
      <c r="I198" s="3"/>
      <c r="J198" s="3"/>
      <c r="K198" s="3"/>
      <c r="L198" s="3"/>
      <c r="M198" s="3"/>
      <c r="N198" s="3"/>
      <c r="P198" s="3"/>
      <c r="Q198" s="3"/>
      <c r="R198" s="3"/>
    </row>
    <row r="199">
      <c r="A199" s="3"/>
      <c r="B199" s="3"/>
      <c r="C199" s="3"/>
      <c r="D199" s="190"/>
      <c r="E199" s="3"/>
      <c r="F199" s="3"/>
      <c r="G199" s="3"/>
      <c r="H199" s="3"/>
      <c r="I199" s="3"/>
      <c r="J199" s="3"/>
      <c r="K199" s="3"/>
      <c r="L199" s="3"/>
      <c r="M199" s="3"/>
      <c r="N199" s="3"/>
      <c r="P199" s="3"/>
      <c r="Q199" s="3"/>
      <c r="R199" s="3"/>
    </row>
    <row r="200">
      <c r="A200" s="3"/>
      <c r="B200" s="3"/>
      <c r="C200" s="3"/>
      <c r="D200" s="190"/>
      <c r="E200" s="3"/>
      <c r="F200" s="3"/>
      <c r="G200" s="3"/>
      <c r="H200" s="3"/>
      <c r="I200" s="3"/>
      <c r="J200" s="3"/>
      <c r="K200" s="3"/>
      <c r="L200" s="3"/>
      <c r="M200" s="3"/>
      <c r="N200" s="3"/>
      <c r="P200" s="3"/>
      <c r="Q200" s="3"/>
      <c r="R200" s="3"/>
    </row>
    <row r="201">
      <c r="A201" s="3"/>
      <c r="B201" s="3"/>
      <c r="C201" s="3"/>
      <c r="D201" s="190"/>
      <c r="E201" s="3"/>
      <c r="F201" s="3"/>
      <c r="G201" s="3"/>
      <c r="H201" s="3"/>
      <c r="I201" s="3"/>
      <c r="J201" s="3"/>
      <c r="K201" s="3"/>
      <c r="L201" s="3"/>
      <c r="M201" s="3"/>
      <c r="N201" s="3"/>
      <c r="P201" s="3"/>
      <c r="Q201" s="3"/>
      <c r="R201" s="3"/>
    </row>
    <row r="202">
      <c r="A202" s="3"/>
      <c r="B202" s="3"/>
      <c r="C202" s="3"/>
      <c r="D202" s="190"/>
      <c r="E202" s="3"/>
      <c r="F202" s="3"/>
      <c r="G202" s="3"/>
      <c r="H202" s="3"/>
      <c r="I202" s="3"/>
      <c r="J202" s="3"/>
      <c r="K202" s="3"/>
      <c r="L202" s="3"/>
      <c r="M202" s="3"/>
      <c r="N202" s="3"/>
      <c r="P202" s="3"/>
      <c r="Q202" s="3"/>
      <c r="R202" s="3"/>
    </row>
    <row r="203">
      <c r="A203" s="3"/>
      <c r="B203" s="3"/>
      <c r="C203" s="3"/>
      <c r="D203" s="190"/>
      <c r="E203" s="3"/>
      <c r="F203" s="3"/>
      <c r="G203" s="3"/>
      <c r="H203" s="3"/>
      <c r="I203" s="3"/>
      <c r="J203" s="3"/>
      <c r="K203" s="3"/>
      <c r="L203" s="3"/>
      <c r="M203" s="3"/>
      <c r="N203" s="3"/>
      <c r="P203" s="3"/>
      <c r="Q203" s="3"/>
      <c r="R203" s="3"/>
    </row>
    <row r="204">
      <c r="A204" s="3"/>
      <c r="B204" s="3"/>
      <c r="C204" s="3"/>
      <c r="D204" s="190"/>
      <c r="E204" s="3"/>
      <c r="F204" s="3"/>
      <c r="G204" s="3"/>
      <c r="H204" s="3"/>
      <c r="I204" s="3"/>
      <c r="J204" s="3"/>
      <c r="K204" s="3"/>
      <c r="L204" s="3"/>
      <c r="M204" s="3"/>
      <c r="N204" s="3"/>
      <c r="P204" s="3"/>
      <c r="Q204" s="3"/>
      <c r="R204" s="3"/>
    </row>
    <row r="205">
      <c r="A205" s="3"/>
      <c r="B205" s="3"/>
      <c r="C205" s="3"/>
      <c r="D205" s="190"/>
      <c r="E205" s="3"/>
      <c r="F205" s="3"/>
      <c r="G205" s="3"/>
      <c r="H205" s="3"/>
      <c r="I205" s="3"/>
      <c r="J205" s="3"/>
      <c r="K205" s="3"/>
      <c r="L205" s="3"/>
      <c r="M205" s="3"/>
      <c r="N205" s="3"/>
      <c r="P205" s="3"/>
      <c r="Q205" s="3"/>
      <c r="R205" s="3"/>
    </row>
    <row r="206">
      <c r="A206" s="3"/>
      <c r="B206" s="3"/>
      <c r="C206" s="3"/>
      <c r="D206" s="190"/>
      <c r="E206" s="3"/>
      <c r="F206" s="3"/>
      <c r="G206" s="3"/>
      <c r="H206" s="3"/>
      <c r="I206" s="3"/>
      <c r="J206" s="3"/>
      <c r="K206" s="3"/>
      <c r="L206" s="3"/>
      <c r="M206" s="3"/>
      <c r="N206" s="3"/>
      <c r="P206" s="3"/>
      <c r="Q206" s="3"/>
      <c r="R206" s="3"/>
    </row>
    <row r="207">
      <c r="A207" s="3"/>
      <c r="B207" s="3"/>
      <c r="C207" s="3"/>
      <c r="D207" s="190"/>
      <c r="E207" s="3"/>
      <c r="F207" s="3"/>
      <c r="G207" s="3"/>
      <c r="H207" s="3"/>
      <c r="I207" s="3"/>
      <c r="J207" s="3"/>
      <c r="K207" s="3"/>
      <c r="L207" s="3"/>
      <c r="M207" s="3"/>
      <c r="N207" s="3"/>
      <c r="P207" s="3"/>
      <c r="Q207" s="3"/>
      <c r="R207" s="3"/>
    </row>
    <row r="208">
      <c r="A208" s="3"/>
      <c r="B208" s="3"/>
      <c r="C208" s="3"/>
      <c r="D208" s="190"/>
      <c r="E208" s="3"/>
      <c r="F208" s="3"/>
      <c r="G208" s="3"/>
      <c r="H208" s="3"/>
      <c r="I208" s="3"/>
      <c r="J208" s="3"/>
      <c r="K208" s="3"/>
      <c r="L208" s="3"/>
      <c r="M208" s="3"/>
      <c r="N208" s="3"/>
      <c r="P208" s="3"/>
      <c r="Q208" s="3"/>
      <c r="R208" s="3"/>
    </row>
    <row r="209">
      <c r="A209" s="3"/>
      <c r="B209" s="3"/>
      <c r="C209" s="3"/>
      <c r="D209" s="190"/>
      <c r="E209" s="3"/>
      <c r="F209" s="3"/>
      <c r="G209" s="3"/>
      <c r="H209" s="3"/>
      <c r="I209" s="3"/>
      <c r="J209" s="3"/>
      <c r="K209" s="3"/>
      <c r="L209" s="3"/>
      <c r="M209" s="3"/>
      <c r="N209" s="3"/>
      <c r="P209" s="3"/>
      <c r="Q209" s="3"/>
      <c r="R209" s="3"/>
    </row>
    <row r="210">
      <c r="A210" s="3"/>
      <c r="B210" s="3"/>
      <c r="C210" s="3"/>
      <c r="D210" s="190"/>
      <c r="E210" s="3"/>
      <c r="F210" s="3"/>
      <c r="G210" s="3"/>
      <c r="H210" s="3"/>
      <c r="I210" s="3"/>
      <c r="J210" s="3"/>
      <c r="K210" s="3"/>
      <c r="L210" s="3"/>
      <c r="M210" s="3"/>
      <c r="N210" s="3"/>
      <c r="P210" s="3"/>
      <c r="Q210" s="3"/>
      <c r="R210" s="3"/>
    </row>
    <row r="211">
      <c r="A211" s="3"/>
      <c r="B211" s="3"/>
      <c r="C211" s="3"/>
      <c r="D211" s="190"/>
      <c r="E211" s="3"/>
      <c r="F211" s="3"/>
      <c r="G211" s="3"/>
      <c r="H211" s="3"/>
      <c r="I211" s="3"/>
      <c r="J211" s="3"/>
      <c r="K211" s="3"/>
      <c r="L211" s="3"/>
      <c r="M211" s="3"/>
      <c r="N211" s="3"/>
      <c r="P211" s="3"/>
      <c r="Q211" s="3"/>
      <c r="R211" s="3"/>
    </row>
    <row r="212">
      <c r="A212" s="3"/>
      <c r="B212" s="3"/>
      <c r="C212" s="3"/>
      <c r="D212" s="190"/>
      <c r="E212" s="3"/>
      <c r="F212" s="3"/>
      <c r="G212" s="3"/>
      <c r="H212" s="3"/>
      <c r="I212" s="3"/>
      <c r="J212" s="3"/>
      <c r="K212" s="3"/>
      <c r="L212" s="3"/>
      <c r="M212" s="3"/>
      <c r="N212" s="3"/>
      <c r="P212" s="3"/>
      <c r="Q212" s="3"/>
      <c r="R212" s="3"/>
    </row>
    <row r="213">
      <c r="A213" s="3"/>
      <c r="B213" s="3"/>
      <c r="C213" s="3"/>
      <c r="D213" s="190"/>
      <c r="E213" s="3"/>
      <c r="F213" s="3"/>
      <c r="G213" s="3"/>
      <c r="H213" s="3"/>
      <c r="I213" s="3"/>
      <c r="J213" s="3"/>
      <c r="K213" s="3"/>
      <c r="L213" s="3"/>
      <c r="M213" s="3"/>
      <c r="N213" s="3"/>
      <c r="P213" s="3"/>
      <c r="Q213" s="3"/>
      <c r="R213" s="3"/>
    </row>
    <row r="214">
      <c r="A214" s="3"/>
      <c r="B214" s="3"/>
      <c r="C214" s="3"/>
      <c r="D214" s="190"/>
      <c r="E214" s="3"/>
      <c r="F214" s="3"/>
      <c r="G214" s="3"/>
      <c r="H214" s="3"/>
      <c r="I214" s="3"/>
      <c r="J214" s="3"/>
      <c r="K214" s="3"/>
      <c r="L214" s="3"/>
      <c r="M214" s="3"/>
      <c r="N214" s="3"/>
      <c r="P214" s="3"/>
      <c r="Q214" s="3"/>
      <c r="R214" s="3"/>
    </row>
    <row r="215">
      <c r="A215" s="3"/>
      <c r="B215" s="3"/>
      <c r="C215" s="3"/>
      <c r="D215" s="190"/>
      <c r="E215" s="3"/>
      <c r="F215" s="3"/>
      <c r="G215" s="3"/>
      <c r="H215" s="3"/>
      <c r="I215" s="3"/>
      <c r="J215" s="3"/>
      <c r="K215" s="3"/>
      <c r="L215" s="3"/>
      <c r="M215" s="3"/>
      <c r="N215" s="3"/>
      <c r="P215" s="3"/>
      <c r="Q215" s="3"/>
      <c r="R215" s="3"/>
    </row>
    <row r="216">
      <c r="A216" s="3"/>
      <c r="B216" s="3"/>
      <c r="C216" s="3"/>
      <c r="D216" s="190"/>
      <c r="E216" s="3"/>
      <c r="F216" s="3"/>
      <c r="G216" s="3"/>
      <c r="H216" s="3"/>
      <c r="I216" s="3"/>
      <c r="J216" s="3"/>
      <c r="K216" s="3"/>
      <c r="L216" s="3"/>
      <c r="M216" s="3"/>
      <c r="N216" s="3"/>
      <c r="P216" s="3"/>
      <c r="Q216" s="3"/>
      <c r="R216" s="3"/>
    </row>
    <row r="217">
      <c r="A217" s="3"/>
      <c r="B217" s="3"/>
      <c r="C217" s="3"/>
      <c r="D217" s="190"/>
      <c r="E217" s="3"/>
      <c r="F217" s="3"/>
      <c r="G217" s="3"/>
      <c r="H217" s="3"/>
      <c r="I217" s="3"/>
      <c r="J217" s="3"/>
      <c r="K217" s="3"/>
      <c r="L217" s="3"/>
      <c r="M217" s="3"/>
      <c r="N217" s="3"/>
      <c r="P217" s="3"/>
      <c r="Q217" s="3"/>
      <c r="R217" s="3"/>
    </row>
    <row r="218">
      <c r="A218" s="3"/>
      <c r="B218" s="3"/>
      <c r="C218" s="3"/>
      <c r="D218" s="190"/>
      <c r="E218" s="3"/>
      <c r="F218" s="3"/>
      <c r="G218" s="3"/>
      <c r="H218" s="3"/>
      <c r="I218" s="3"/>
      <c r="J218" s="3"/>
      <c r="K218" s="3"/>
      <c r="L218" s="3"/>
      <c r="M218" s="3"/>
      <c r="N218" s="3"/>
      <c r="P218" s="3"/>
      <c r="Q218" s="3"/>
      <c r="R218" s="3"/>
    </row>
    <row r="219">
      <c r="A219" s="3"/>
      <c r="B219" s="3"/>
      <c r="C219" s="3"/>
      <c r="D219" s="190"/>
      <c r="E219" s="3"/>
      <c r="F219" s="3"/>
      <c r="G219" s="3"/>
      <c r="H219" s="3"/>
      <c r="I219" s="3"/>
      <c r="J219" s="3"/>
      <c r="K219" s="3"/>
      <c r="L219" s="3"/>
      <c r="M219" s="3"/>
      <c r="N219" s="3"/>
      <c r="P219" s="3"/>
      <c r="Q219" s="3"/>
      <c r="R219" s="3"/>
    </row>
    <row r="220">
      <c r="A220" s="3"/>
      <c r="B220" s="3"/>
      <c r="C220" s="3"/>
      <c r="D220" s="190"/>
      <c r="E220" s="3"/>
      <c r="F220" s="3"/>
      <c r="G220" s="3"/>
      <c r="H220" s="3"/>
      <c r="I220" s="3"/>
      <c r="J220" s="3"/>
      <c r="K220" s="3"/>
      <c r="L220" s="3"/>
      <c r="M220" s="3"/>
      <c r="N220" s="3"/>
      <c r="P220" s="3"/>
      <c r="Q220" s="3"/>
      <c r="R220" s="3"/>
    </row>
    <row r="221">
      <c r="A221" s="3"/>
      <c r="B221" s="3"/>
      <c r="C221" s="3"/>
      <c r="D221" s="190"/>
      <c r="E221" s="3"/>
      <c r="F221" s="3"/>
      <c r="G221" s="3"/>
      <c r="H221" s="3"/>
      <c r="I221" s="3"/>
      <c r="J221" s="3"/>
      <c r="K221" s="3"/>
      <c r="L221" s="3"/>
      <c r="M221" s="3"/>
      <c r="N221" s="3"/>
      <c r="P221" s="3"/>
      <c r="Q221" s="3"/>
      <c r="R221" s="3"/>
    </row>
    <row r="222">
      <c r="A222" s="3"/>
      <c r="B222" s="3"/>
      <c r="C222" s="3"/>
      <c r="D222" s="190"/>
      <c r="E222" s="3"/>
      <c r="F222" s="3"/>
      <c r="G222" s="3"/>
      <c r="H222" s="3"/>
      <c r="I222" s="3"/>
      <c r="J222" s="3"/>
      <c r="K222" s="3"/>
      <c r="L222" s="3"/>
      <c r="M222" s="3"/>
      <c r="N222" s="3"/>
      <c r="P222" s="3"/>
      <c r="Q222" s="3"/>
      <c r="R222" s="3"/>
    </row>
  </sheetData>
  <mergeCells count="8">
    <mergeCell ref="A1:A2"/>
    <mergeCell ref="B1:B2"/>
    <mergeCell ref="C1:C2"/>
    <mergeCell ref="D1:D2"/>
    <mergeCell ref="E1:I1"/>
    <mergeCell ref="M1:O1"/>
    <mergeCell ref="P1:Q1"/>
    <mergeCell ref="U1:U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7.16" customWidth="1"/>
    <col min="2" max="2" width="63.56" customWidth="1"/>
    <col min="3" max="3" width="9.78" customWidth="1"/>
    <col min="4" max="4" width="8.9" customWidth="1"/>
    <col min="5" max="6" width="9.6" customWidth="1"/>
    <col min="7" max="10" width="9.6" hidden="1" customWidth="1"/>
    <col min="11" max="11" width="9.6" customWidth="1"/>
    <col min="12" max="12" width="72.11" customWidth="1"/>
    <col min="13" max="18" width="7.86" customWidth="1"/>
    <col min="19" max="21" width="9.6" customWidth="1"/>
  </cols>
  <sheetData>
    <row r="1">
      <c r="A1" s="193" t="s">
        <v>2530</v>
      </c>
      <c r="B1" s="194" t="s">
        <v>2531</v>
      </c>
      <c r="C1" s="194" t="s">
        <v>2532</v>
      </c>
      <c r="D1" s="194"/>
      <c r="E1" s="194"/>
      <c r="F1" s="194"/>
      <c r="G1" s="194" t="s">
        <v>2533</v>
      </c>
      <c r="H1" s="194"/>
      <c r="I1" s="194"/>
      <c r="J1" s="194"/>
      <c r="K1" s="193" t="s">
        <v>2534</v>
      </c>
      <c r="L1" s="194" t="s">
        <v>2535</v>
      </c>
      <c r="M1" s="194" t="s">
        <v>2536</v>
      </c>
      <c r="N1" s="194"/>
      <c r="O1" s="194"/>
      <c r="P1" s="194" t="s">
        <v>2537</v>
      </c>
      <c r="Q1" s="194"/>
      <c r="R1" s="194"/>
      <c r="S1" s="193" t="s">
        <v>2538</v>
      </c>
      <c r="T1" s="193" t="s">
        <v>2539</v>
      </c>
      <c r="U1" s="193" t="s">
        <v>2540</v>
      </c>
    </row>
    <row r="2">
      <c r="A2" s="193"/>
      <c r="B2" s="194"/>
      <c r="C2" s="195" t="s">
        <v>2541</v>
      </c>
      <c r="D2" s="195" t="s">
        <v>2542</v>
      </c>
      <c r="E2" s="195" t="s">
        <v>2543</v>
      </c>
      <c r="F2" s="195" t="s">
        <v>2544</v>
      </c>
      <c r="G2" s="195" t="s">
        <v>2545</v>
      </c>
      <c r="H2" s="195" t="s">
        <v>2546</v>
      </c>
      <c r="I2" s="195" t="s">
        <v>2547</v>
      </c>
      <c r="J2" s="195" t="s">
        <v>2548</v>
      </c>
      <c r="K2" s="193"/>
      <c r="L2" s="194"/>
      <c r="M2" s="194" t="s">
        <v>2549</v>
      </c>
      <c r="N2" s="194" t="s">
        <v>2550</v>
      </c>
      <c r="O2" s="194" t="s">
        <v>2551</v>
      </c>
      <c r="P2" s="194" t="s">
        <v>2552</v>
      </c>
      <c r="Q2" s="194" t="s">
        <v>2553</v>
      </c>
      <c r="R2" s="194" t="s">
        <v>2554</v>
      </c>
      <c r="S2" s="193" t="s">
        <v>2555</v>
      </c>
      <c r="T2" s="193" t="s">
        <v>2556</v>
      </c>
      <c r="U2" s="193" t="s">
        <v>2557</v>
      </c>
    </row>
    <row r="3">
      <c r="A3" s="196" t="s">
        <v>2558</v>
      </c>
      <c r="B3" s="197" t="s">
        <v>2559</v>
      </c>
      <c r="C3" s="196" t="n">
        <v>2066</v>
      </c>
      <c r="D3" s="167" t="n">
        <v>15</v>
      </c>
      <c r="E3" s="167" t="n">
        <v>0</v>
      </c>
      <c r="F3" s="167" t="n">
        <v>19</v>
      </c>
      <c r="G3" s="196"/>
      <c r="H3" s="167"/>
      <c r="I3" s="167"/>
      <c r="J3" s="167"/>
      <c r="K3" s="198" t="n">
        <v>44431</v>
      </c>
      <c r="L3" s="199" t="s">
        <v>2560</v>
      </c>
      <c r="M3" s="167" t="n">
        <v>82</v>
      </c>
      <c r="N3" s="167" t="n">
        <v>1</v>
      </c>
      <c r="O3" s="167" t="n">
        <v>0</v>
      </c>
      <c r="P3" s="167" t="n">
        <v>970</v>
      </c>
      <c r="Q3" s="167" t="n">
        <v>4</v>
      </c>
      <c r="R3" s="167" t="n">
        <v>3</v>
      </c>
      <c r="S3" s="196"/>
      <c r="T3" s="196"/>
      <c r="U3" s="196"/>
    </row>
    <row r="4">
      <c r="A4" s="196"/>
      <c r="B4" s="153"/>
      <c r="C4" s="196"/>
      <c r="D4" s="167"/>
      <c r="E4" s="167"/>
      <c r="F4" s="167"/>
      <c r="G4" s="196"/>
      <c r="H4" s="167"/>
      <c r="I4" s="167"/>
      <c r="J4" s="167"/>
      <c r="K4" s="198" t="n">
        <v>44433</v>
      </c>
      <c r="L4" s="199" t="s">
        <v>2561</v>
      </c>
      <c r="M4" s="167" t="n">
        <v>108</v>
      </c>
      <c r="N4" s="167" t="n">
        <v>1</v>
      </c>
      <c r="O4" s="167" t="n">
        <v>0</v>
      </c>
      <c r="P4" s="167" t="n">
        <v>952</v>
      </c>
      <c r="Q4" s="167" t="n">
        <v>6</v>
      </c>
      <c r="R4" s="167" t="n">
        <v>3</v>
      </c>
      <c r="S4" s="196"/>
      <c r="T4" s="196"/>
      <c r="U4" s="196"/>
    </row>
    <row r="5">
      <c r="A5" s="157" t="s">
        <v>2562</v>
      </c>
      <c r="B5" s="149" t="s">
        <v>2563</v>
      </c>
      <c r="C5" s="157" t="n">
        <v>3020</v>
      </c>
      <c r="D5" s="159" t="n">
        <v>20</v>
      </c>
      <c r="E5" s="159" t="n">
        <v>2</v>
      </c>
      <c r="F5" s="159" t="n">
        <v>10</v>
      </c>
      <c r="G5" s="157"/>
      <c r="H5" s="159"/>
      <c r="I5" s="159"/>
      <c r="J5" s="159"/>
      <c r="K5" s="200" t="n">
        <v>44426</v>
      </c>
      <c r="L5" s="201" t="s">
        <v>2564</v>
      </c>
      <c r="M5" s="159" t="n">
        <v>64</v>
      </c>
      <c r="N5" s="159" t="n">
        <v>0</v>
      </c>
      <c r="O5" s="159" t="n">
        <v>1</v>
      </c>
      <c r="P5" s="159" t="n">
        <v>1520</v>
      </c>
      <c r="Q5" s="159" t="n">
        <v>12</v>
      </c>
      <c r="R5" s="159" t="n">
        <v>3</v>
      </c>
      <c r="S5" s="157"/>
      <c r="T5" s="157"/>
      <c r="U5" s="157"/>
    </row>
    <row r="6">
      <c r="A6" s="157"/>
      <c r="B6" s="153"/>
      <c r="C6" s="157"/>
      <c r="D6" s="159"/>
      <c r="E6" s="159"/>
      <c r="F6" s="159"/>
      <c r="G6" s="157"/>
      <c r="H6" s="159"/>
      <c r="I6" s="159"/>
      <c r="J6" s="159"/>
      <c r="K6" s="200" t="n">
        <v>44427</v>
      </c>
      <c r="L6" s="201" t="s">
        <v>2565</v>
      </c>
      <c r="M6" s="159" t="n">
        <v>37</v>
      </c>
      <c r="N6" s="159" t="n">
        <v>4</v>
      </c>
      <c r="O6" s="159" t="n">
        <v>0</v>
      </c>
      <c r="P6" s="159" t="n">
        <v>927</v>
      </c>
      <c r="Q6" s="159" t="n">
        <v>6</v>
      </c>
      <c r="R6" s="159" t="n">
        <v>2</v>
      </c>
      <c r="S6" s="157"/>
      <c r="T6" s="157"/>
      <c r="U6" s="157"/>
    </row>
    <row r="7">
      <c r="A7" s="157" t="s">
        <v>2566</v>
      </c>
      <c r="B7" s="153" t="s">
        <v>2567</v>
      </c>
      <c r="C7" s="157" t="n">
        <v>1684</v>
      </c>
      <c r="D7" s="159" t="n">
        <v>16</v>
      </c>
      <c r="E7" s="159" t="n">
        <v>0</v>
      </c>
      <c r="F7" s="159" t="n">
        <v>7</v>
      </c>
      <c r="G7" s="157" t="n">
        <v>101</v>
      </c>
      <c r="H7" s="159" t="n">
        <v>4</v>
      </c>
      <c r="I7" s="159" t="n">
        <v>0</v>
      </c>
      <c r="J7" s="159" t="n">
        <v>1</v>
      </c>
      <c r="K7" s="200" t="n">
        <v>44424</v>
      </c>
      <c r="L7" s="201" t="s">
        <v>2568</v>
      </c>
      <c r="M7" s="159" t="n">
        <v>55</v>
      </c>
      <c r="N7" s="159" t="n">
        <v>6</v>
      </c>
      <c r="O7" s="159" t="n">
        <v>0</v>
      </c>
      <c r="P7" s="159" t="n">
        <v>2653</v>
      </c>
      <c r="Q7" s="159" t="n">
        <v>14</v>
      </c>
      <c r="R7" s="159" t="n">
        <v>4</v>
      </c>
      <c r="S7" s="157"/>
      <c r="T7" s="157"/>
      <c r="U7" s="157"/>
    </row>
    <row r="8">
      <c r="A8" s="157"/>
      <c r="B8" s="153"/>
      <c r="C8" s="157"/>
      <c r="D8" s="159"/>
      <c r="E8" s="159"/>
      <c r="F8" s="159"/>
      <c r="G8" s="157"/>
      <c r="H8" s="159"/>
      <c r="I8" s="159"/>
      <c r="J8" s="159"/>
      <c r="K8" s="200" t="n">
        <v>44425</v>
      </c>
      <c r="L8" s="201" t="s">
        <v>2569</v>
      </c>
      <c r="M8" s="159" t="n">
        <v>158</v>
      </c>
      <c r="N8" s="159" t="n">
        <v>9</v>
      </c>
      <c r="O8" s="159" t="n">
        <v>2</v>
      </c>
      <c r="P8" s="159" t="n">
        <v>2130</v>
      </c>
      <c r="Q8" s="159" t="n">
        <v>14</v>
      </c>
      <c r="R8" s="159" t="n">
        <v>1</v>
      </c>
      <c r="S8" s="157"/>
      <c r="T8" s="157"/>
      <c r="U8" s="157"/>
    </row>
    <row r="9">
      <c r="A9" s="157" t="s">
        <v>2570</v>
      </c>
      <c r="B9" s="153" t="s">
        <v>2571</v>
      </c>
      <c r="C9" s="157" t="n">
        <v>2548</v>
      </c>
      <c r="D9" s="159" t="n">
        <v>21</v>
      </c>
      <c r="E9" s="159" t="n">
        <v>0</v>
      </c>
      <c r="F9" s="159" t="n">
        <v>17</v>
      </c>
      <c r="G9" s="157" t="n">
        <v>57</v>
      </c>
      <c r="H9" s="159" t="n">
        <v>1</v>
      </c>
      <c r="I9" s="159" t="n">
        <v>0</v>
      </c>
      <c r="J9" s="159" t="n">
        <v>0</v>
      </c>
      <c r="K9" s="200" t="n">
        <v>44414</v>
      </c>
      <c r="L9" s="202" t="s">
        <v>2572</v>
      </c>
      <c r="M9" s="159" t="n">
        <v>171</v>
      </c>
      <c r="N9" s="159" t="n">
        <v>5</v>
      </c>
      <c r="O9" s="159" t="n">
        <v>0</v>
      </c>
      <c r="P9" s="159" t="n">
        <v>1068</v>
      </c>
      <c r="Q9" s="159" t="n">
        <v>8</v>
      </c>
      <c r="R9" s="159" t="n">
        <v>3</v>
      </c>
      <c r="S9" s="157" t="n">
        <v>133</v>
      </c>
      <c r="T9" s="157" t="n">
        <v>215</v>
      </c>
      <c r="U9" s="157" t="n">
        <v>1021</v>
      </c>
    </row>
    <row r="10">
      <c r="A10" s="157"/>
      <c r="B10" s="203"/>
      <c r="C10" s="157"/>
      <c r="D10" s="159"/>
      <c r="E10" s="159"/>
      <c r="F10" s="159"/>
      <c r="G10" s="157"/>
      <c r="H10" s="159"/>
      <c r="I10" s="159"/>
      <c r="J10" s="159"/>
      <c r="K10" s="200" t="n">
        <v>44418</v>
      </c>
      <c r="L10" s="202" t="s">
        <v>2573</v>
      </c>
      <c r="M10" s="159" t="n">
        <v>46</v>
      </c>
      <c r="N10" s="159" t="n">
        <v>6</v>
      </c>
      <c r="O10" s="159" t="n">
        <v>0</v>
      </c>
      <c r="P10" s="159" t="n">
        <v>1284</v>
      </c>
      <c r="Q10" s="159" t="n">
        <v>8</v>
      </c>
      <c r="R10" s="159" t="n">
        <v>2</v>
      </c>
      <c r="S10" s="157"/>
      <c r="T10" s="157"/>
      <c r="U10" s="157"/>
    </row>
    <row r="11">
      <c r="A11" s="157" t="s">
        <v>2574</v>
      </c>
      <c r="B11" s="149" t="s">
        <v>2575</v>
      </c>
      <c r="C11" s="157" t="n">
        <v>2599</v>
      </c>
      <c r="D11" s="159" t="n">
        <v>25</v>
      </c>
      <c r="E11" s="159" t="n">
        <v>0</v>
      </c>
      <c r="F11" s="159" t="n">
        <v>10</v>
      </c>
      <c r="G11" s="157" t="n">
        <v>57</v>
      </c>
      <c r="H11" s="159" t="n">
        <v>1</v>
      </c>
      <c r="I11" s="159" t="n">
        <v>0</v>
      </c>
      <c r="J11" s="159" t="n">
        <v>0</v>
      </c>
      <c r="K11" s="200" t="n">
        <v>44410</v>
      </c>
      <c r="L11" s="204" t="s">
        <v>2576</v>
      </c>
      <c r="M11" s="159" t="n">
        <v>1540</v>
      </c>
      <c r="N11" s="159" t="n">
        <v>17</v>
      </c>
      <c r="O11" s="159" t="n">
        <v>2</v>
      </c>
      <c r="P11" s="159" t="n">
        <v>3</v>
      </c>
      <c r="Q11" s="159" t="n">
        <v>2</v>
      </c>
      <c r="R11" s="159" t="n">
        <v>0</v>
      </c>
      <c r="S11" s="157" t="n">
        <v>288</v>
      </c>
      <c r="T11" s="157" t="n">
        <v>155</v>
      </c>
      <c r="U11" s="157" t="n">
        <v>716</v>
      </c>
    </row>
    <row r="12">
      <c r="A12" s="157"/>
      <c r="B12" s="203"/>
      <c r="C12" s="157"/>
      <c r="D12" s="159"/>
      <c r="E12" s="159"/>
      <c r="F12" s="159"/>
      <c r="G12" s="157"/>
      <c r="H12" s="159"/>
      <c r="I12" s="159"/>
      <c r="J12" s="159"/>
      <c r="K12" s="200" t="n">
        <v>44412</v>
      </c>
      <c r="L12" s="204" t="s">
        <v>2577</v>
      </c>
      <c r="M12" s="159" t="n">
        <v>47</v>
      </c>
      <c r="N12" s="159" t="n">
        <v>1</v>
      </c>
      <c r="O12" s="159" t="n">
        <v>0</v>
      </c>
      <c r="P12" s="159" t="n">
        <v>3</v>
      </c>
      <c r="Q12" s="159" t="n">
        <v>3</v>
      </c>
      <c r="R12" s="159" t="n">
        <v>0</v>
      </c>
      <c r="S12" s="157"/>
      <c r="T12" s="157"/>
      <c r="U12" s="157"/>
    </row>
    <row r="13">
      <c r="A13" s="157" t="s">
        <v>2578</v>
      </c>
      <c r="B13" s="205" t="s">
        <v>2579</v>
      </c>
      <c r="C13" s="157" t="n">
        <v>6991</v>
      </c>
      <c r="D13" s="159" t="n">
        <v>17</v>
      </c>
      <c r="E13" s="159" t="n">
        <v>1</v>
      </c>
      <c r="F13" s="159" t="n">
        <v>14</v>
      </c>
      <c r="G13" s="157" t="n">
        <v>82</v>
      </c>
      <c r="H13" s="159" t="n">
        <v>2</v>
      </c>
      <c r="I13" s="159" t="n">
        <v>2</v>
      </c>
      <c r="J13" s="159" t="n">
        <v>0</v>
      </c>
      <c r="K13" s="200" t="n">
        <v>44403</v>
      </c>
      <c r="L13" s="206" t="s">
        <v>2580</v>
      </c>
      <c r="M13" s="159" t="n">
        <v>400</v>
      </c>
      <c r="N13" s="159" t="n">
        <v>4</v>
      </c>
      <c r="O13" s="159" t="n">
        <v>4</v>
      </c>
      <c r="P13" s="159" t="n">
        <v>1028</v>
      </c>
      <c r="Q13" s="159" t="n">
        <v>7</v>
      </c>
      <c r="R13" s="159" t="n">
        <v>4</v>
      </c>
      <c r="S13" s="157" t="n">
        <v>181</v>
      </c>
      <c r="T13" s="157" t="n">
        <v>94</v>
      </c>
      <c r="U13" s="157" t="n">
        <v>1224</v>
      </c>
    </row>
    <row r="14">
      <c r="A14" s="157"/>
      <c r="B14" s="203"/>
      <c r="C14" s="157"/>
      <c r="D14" s="159"/>
      <c r="E14" s="159"/>
      <c r="F14" s="159"/>
      <c r="G14" s="157"/>
      <c r="H14" s="159"/>
      <c r="I14" s="159"/>
      <c r="J14" s="159"/>
      <c r="K14" s="200" t="n">
        <v>44404</v>
      </c>
      <c r="L14" s="206" t="s">
        <v>2581</v>
      </c>
      <c r="M14" s="159" t="n">
        <v>169</v>
      </c>
      <c r="N14" s="159" t="n">
        <v>4</v>
      </c>
      <c r="O14" s="159" t="n">
        <v>0</v>
      </c>
      <c r="P14" s="159" t="n">
        <v>1594</v>
      </c>
      <c r="Q14" s="159" t="n">
        <v>10</v>
      </c>
      <c r="R14" s="159" t="n">
        <v>3</v>
      </c>
      <c r="S14" s="157"/>
      <c r="T14" s="157"/>
      <c r="U14" s="157"/>
    </row>
    <row r="15">
      <c r="A15" s="157" t="s">
        <v>2582</v>
      </c>
      <c r="B15" s="157" t="s">
        <v>2583</v>
      </c>
      <c r="C15" s="157" t="n">
        <v>1915</v>
      </c>
      <c r="D15" s="159" t="n">
        <v>14</v>
      </c>
      <c r="E15" s="159" t="n">
        <v>1</v>
      </c>
      <c r="F15" s="159" t="n">
        <v>5</v>
      </c>
      <c r="G15" s="157" t="n">
        <v>50</v>
      </c>
      <c r="H15" s="159" t="n">
        <v>1</v>
      </c>
      <c r="I15" s="159" t="n">
        <v>0</v>
      </c>
      <c r="J15" s="159" t="n">
        <v>0</v>
      </c>
      <c r="K15" s="156" t="n">
        <v>44398</v>
      </c>
      <c r="L15" s="207" t="s">
        <v>2584</v>
      </c>
      <c r="M15" s="159" t="n">
        <v>449</v>
      </c>
      <c r="N15" s="159" t="n">
        <v>2</v>
      </c>
      <c r="O15" s="159" t="n">
        <v>0</v>
      </c>
      <c r="P15" s="159" t="n">
        <v>162</v>
      </c>
      <c r="Q15" s="159" t="n">
        <v>4</v>
      </c>
      <c r="R15" s="208" t="n">
        <v>2</v>
      </c>
      <c r="S15" s="157"/>
      <c r="T15" s="157"/>
      <c r="U15" s="157"/>
    </row>
    <row r="16">
      <c r="A16" s="157"/>
      <c r="B16" s="157"/>
      <c r="C16" s="157"/>
      <c r="D16" s="159"/>
      <c r="E16" s="159"/>
      <c r="F16" s="159"/>
      <c r="G16" s="157"/>
      <c r="H16" s="159"/>
      <c r="I16" s="159"/>
      <c r="J16" s="159"/>
      <c r="K16" s="156" t="n">
        <v>44399</v>
      </c>
      <c r="L16" s="207" t="s">
        <v>2585</v>
      </c>
      <c r="M16" s="159" t="n">
        <v>418</v>
      </c>
      <c r="N16" s="159" t="n">
        <v>4</v>
      </c>
      <c r="O16" s="159" t="n">
        <v>0</v>
      </c>
      <c r="P16" s="159" t="n">
        <v>75</v>
      </c>
      <c r="Q16" s="159" t="n">
        <v>1</v>
      </c>
      <c r="R16" s="208" t="n">
        <v>2</v>
      </c>
      <c r="S16" s="157"/>
      <c r="T16" s="157"/>
      <c r="U16" s="157"/>
    </row>
    <row r="17">
      <c r="A17" s="157"/>
      <c r="B17" s="157"/>
      <c r="C17" s="157"/>
      <c r="D17" s="159"/>
      <c r="E17" s="159"/>
      <c r="F17" s="159"/>
      <c r="G17" s="157"/>
      <c r="H17" s="159"/>
      <c r="I17" s="159"/>
      <c r="J17" s="159"/>
      <c r="K17" s="156" t="n">
        <v>44400</v>
      </c>
      <c r="L17" s="207" t="s">
        <v>2586</v>
      </c>
      <c r="M17" s="159" t="n">
        <v>31</v>
      </c>
      <c r="N17" s="159" t="n">
        <v>2</v>
      </c>
      <c r="O17" s="159" t="n">
        <v>0</v>
      </c>
      <c r="P17" s="159" t="n">
        <v>22</v>
      </c>
      <c r="Q17" s="159" t="n">
        <v>2</v>
      </c>
      <c r="R17" s="208" t="n">
        <v>1</v>
      </c>
      <c r="S17" s="157"/>
      <c r="T17" s="157"/>
      <c r="U17" s="157"/>
    </row>
    <row r="18">
      <c r="A18" s="157" t="s">
        <v>2587</v>
      </c>
      <c r="B18" s="149" t="s">
        <v>2588</v>
      </c>
      <c r="C18" s="157" t="n">
        <v>7229</v>
      </c>
      <c r="D18" s="159" t="n">
        <v>24</v>
      </c>
      <c r="E18" s="159" t="n">
        <v>0</v>
      </c>
      <c r="F18" s="159" t="n">
        <v>9</v>
      </c>
      <c r="G18" s="157" t="n">
        <v>27</v>
      </c>
      <c r="H18" s="159" t="n">
        <v>2</v>
      </c>
      <c r="I18" s="159" t="n">
        <v>1</v>
      </c>
      <c r="J18" s="159" t="n">
        <v>0</v>
      </c>
      <c r="K18" s="200" t="n">
        <v>44391</v>
      </c>
      <c r="L18" s="206" t="s">
        <v>2589</v>
      </c>
      <c r="M18" s="159" t="n">
        <v>8</v>
      </c>
      <c r="N18" s="159" t="n">
        <v>0</v>
      </c>
      <c r="O18" s="159" t="n">
        <v>0</v>
      </c>
      <c r="P18" s="159" t="n">
        <v>1047</v>
      </c>
      <c r="Q18" s="159" t="n">
        <v>4</v>
      </c>
      <c r="R18" s="159" t="n">
        <v>1</v>
      </c>
      <c r="S18" s="157" t="n">
        <v>154</v>
      </c>
      <c r="T18" s="157" t="n">
        <v>66</v>
      </c>
      <c r="U18" s="157" t="n">
        <v>351</v>
      </c>
    </row>
    <row r="19">
      <c r="A19" s="157"/>
      <c r="B19" s="203"/>
      <c r="C19" s="157"/>
      <c r="D19" s="159"/>
      <c r="E19" s="159"/>
      <c r="F19" s="159"/>
      <c r="G19" s="157"/>
      <c r="H19" s="159"/>
      <c r="I19" s="159"/>
      <c r="J19" s="159"/>
      <c r="K19" s="200" t="n">
        <v>44390</v>
      </c>
      <c r="L19" s="206" t="s">
        <v>2590</v>
      </c>
      <c r="M19" s="159" t="n">
        <v>84</v>
      </c>
      <c r="N19" s="159" t="n">
        <v>2</v>
      </c>
      <c r="O19" s="159" t="n">
        <v>0</v>
      </c>
      <c r="P19" s="159" t="n">
        <v>898</v>
      </c>
      <c r="Q19" s="159" t="n">
        <v>5</v>
      </c>
      <c r="R19" s="159" t="n">
        <v>2</v>
      </c>
      <c r="S19" s="157"/>
      <c r="T19" s="157"/>
      <c r="U19" s="157"/>
    </row>
    <row r="20">
      <c r="A20" s="157" t="s">
        <v>2591</v>
      </c>
      <c r="B20" s="203" t="s">
        <v>2592</v>
      </c>
      <c r="C20" s="157" t="n">
        <v>1103</v>
      </c>
      <c r="D20" s="159" t="n">
        <v>15</v>
      </c>
      <c r="E20" s="159" t="n">
        <v>0</v>
      </c>
      <c r="F20" s="159" t="n">
        <v>7</v>
      </c>
      <c r="G20" s="157" t="n">
        <v>37</v>
      </c>
      <c r="H20" s="159" t="n">
        <v>1</v>
      </c>
      <c r="I20" s="159" t="n">
        <v>0</v>
      </c>
      <c r="J20" s="159" t="n">
        <v>2</v>
      </c>
      <c r="K20" s="200" t="n">
        <v>44389</v>
      </c>
      <c r="L20" s="209" t="s">
        <v>2593</v>
      </c>
      <c r="M20" s="159" t="n">
        <v>5</v>
      </c>
      <c r="N20" s="159" t="n">
        <v>2</v>
      </c>
      <c r="O20" s="159" t="n">
        <v>0</v>
      </c>
      <c r="P20" s="159" t="n">
        <v>3</v>
      </c>
      <c r="Q20" s="159" t="n">
        <v>2</v>
      </c>
      <c r="R20" s="159" t="n">
        <v>1</v>
      </c>
      <c r="S20" s="157" t="n">
        <v>124</v>
      </c>
      <c r="T20" s="157" t="n">
        <v>66</v>
      </c>
      <c r="U20" s="157" t="n">
        <v>1409</v>
      </c>
    </row>
    <row r="21">
      <c r="A21" s="157"/>
      <c r="B21" s="203"/>
      <c r="C21" s="157"/>
      <c r="D21" s="159"/>
      <c r="E21" s="159"/>
      <c r="F21" s="159"/>
      <c r="G21" s="157"/>
      <c r="H21" s="159"/>
      <c r="I21" s="159"/>
      <c r="J21" s="159"/>
      <c r="K21" s="200" t="n">
        <v>44386</v>
      </c>
      <c r="L21" s="209" t="s">
        <v>2594</v>
      </c>
      <c r="M21" s="159" t="n">
        <v>73</v>
      </c>
      <c r="N21" s="159" t="n">
        <v>2</v>
      </c>
      <c r="O21" s="159" t="n">
        <v>0</v>
      </c>
      <c r="P21" s="159" t="n">
        <v>755</v>
      </c>
      <c r="Q21" s="159" t="n">
        <v>0</v>
      </c>
      <c r="R21" s="159" t="n">
        <v>0</v>
      </c>
      <c r="S21" s="157"/>
      <c r="T21" s="157"/>
      <c r="U21" s="157"/>
    </row>
    <row r="22">
      <c r="A22" s="157" t="s">
        <v>2595</v>
      </c>
      <c r="B22" s="163" t="s">
        <v>2596</v>
      </c>
      <c r="C22" s="157" t="n">
        <v>1571</v>
      </c>
      <c r="D22" s="159" t="n">
        <v>16</v>
      </c>
      <c r="E22" s="159" t="n">
        <v>1</v>
      </c>
      <c r="F22" s="159" t="n">
        <v>7</v>
      </c>
      <c r="G22" s="157" t="n">
        <v>34</v>
      </c>
      <c r="H22" s="159" t="n">
        <v>2</v>
      </c>
      <c r="I22" s="159" t="n">
        <v>2</v>
      </c>
      <c r="J22" s="159" t="n">
        <v>0</v>
      </c>
      <c r="K22" s="210" t="n">
        <v>44384</v>
      </c>
      <c r="L22" s="211" t="s">
        <v>2597</v>
      </c>
      <c r="M22" s="159" t="n">
        <v>3</v>
      </c>
      <c r="N22" s="159" t="n">
        <v>0</v>
      </c>
      <c r="O22" s="159" t="n">
        <v>0</v>
      </c>
      <c r="P22" s="159" t="n">
        <v>3172</v>
      </c>
      <c r="Q22" s="159" t="n">
        <v>4</v>
      </c>
      <c r="R22" s="159" t="n">
        <v>0</v>
      </c>
      <c r="S22" s="157" t="n">
        <v>423</v>
      </c>
      <c r="T22" s="157" t="n">
        <v>423</v>
      </c>
      <c r="U22" s="157" t="n">
        <v>1203</v>
      </c>
    </row>
    <row r="23">
      <c r="A23" s="157"/>
      <c r="B23" s="163"/>
      <c r="C23" s="157"/>
      <c r="D23" s="159"/>
      <c r="E23" s="159"/>
      <c r="F23" s="159"/>
      <c r="G23" s="157"/>
      <c r="H23" s="159"/>
      <c r="I23" s="159"/>
      <c r="J23" s="159"/>
      <c r="K23" s="210" t="n">
        <v>44385</v>
      </c>
      <c r="L23" s="211" t="s">
        <v>2598</v>
      </c>
      <c r="M23" s="159" t="s">
        <v>2599</v>
      </c>
      <c r="N23" s="159" t="s">
        <v>2600</v>
      </c>
      <c r="O23" s="159" t="s">
        <v>2601</v>
      </c>
      <c r="P23" s="159" t="n">
        <v>3107</v>
      </c>
      <c r="Q23" s="159" t="n">
        <v>6</v>
      </c>
      <c r="R23" s="159" t="n">
        <v>0</v>
      </c>
      <c r="S23" s="157"/>
      <c r="T23" s="157"/>
      <c r="U23" s="157"/>
    </row>
    <row r="24">
      <c r="A24" s="157" t="s">
        <v>2602</v>
      </c>
      <c r="B24" s="163" t="s">
        <v>2603</v>
      </c>
      <c r="C24" s="157" t="n">
        <v>12000</v>
      </c>
      <c r="D24" s="159" t="n">
        <v>53</v>
      </c>
      <c r="E24" s="159" t="n">
        <v>1</v>
      </c>
      <c r="F24" s="159" t="n">
        <v>10</v>
      </c>
      <c r="G24" s="157" t="n">
        <v>46</v>
      </c>
      <c r="H24" s="159" t="n">
        <v>4</v>
      </c>
      <c r="I24" s="159" t="n">
        <v>1</v>
      </c>
      <c r="J24" s="159" t="n">
        <v>0</v>
      </c>
      <c r="K24" s="212" t="n">
        <v>44376</v>
      </c>
      <c r="L24" s="211" t="s">
        <v>2604</v>
      </c>
      <c r="M24" s="159" t="n">
        <v>19</v>
      </c>
      <c r="N24" s="159" t="n">
        <v>1</v>
      </c>
      <c r="O24" s="159" t="n">
        <v>0</v>
      </c>
      <c r="P24" s="159" t="n">
        <v>1</v>
      </c>
      <c r="Q24" s="159" t="n">
        <v>0</v>
      </c>
      <c r="R24" s="159" t="n">
        <v>0</v>
      </c>
      <c r="S24" s="157"/>
      <c r="T24" s="157"/>
      <c r="U24" s="157"/>
    </row>
    <row r="25">
      <c r="A25" s="157"/>
      <c r="B25" s="157"/>
      <c r="C25" s="157"/>
      <c r="D25" s="159"/>
      <c r="E25" s="159"/>
      <c r="F25" s="159"/>
      <c r="G25" s="157"/>
      <c r="H25" s="159"/>
      <c r="I25" s="159"/>
      <c r="J25" s="159"/>
      <c r="K25" s="156" t="n">
        <v>44367</v>
      </c>
      <c r="L25" s="213" t="s">
        <v>2605</v>
      </c>
      <c r="M25" s="159" t="n">
        <v>12</v>
      </c>
      <c r="N25" s="159" t="n">
        <v>2</v>
      </c>
      <c r="O25" s="159" t="n">
        <v>0</v>
      </c>
      <c r="P25" s="159" t="n">
        <v>72</v>
      </c>
      <c r="Q25" s="159" t="n">
        <v>3</v>
      </c>
      <c r="R25" s="159" t="n">
        <v>1</v>
      </c>
      <c r="S25" s="157"/>
      <c r="T25" s="157"/>
      <c r="U25" s="157"/>
    </row>
    <row r="26">
      <c r="A26" s="157" t="s">
        <v>2606</v>
      </c>
      <c r="B26" s="164" t="s">
        <v>2607</v>
      </c>
      <c r="C26" s="157" t="n">
        <v>5995</v>
      </c>
      <c r="D26" s="159" t="n">
        <v>30</v>
      </c>
      <c r="E26" s="159" t="n">
        <v>3</v>
      </c>
      <c r="F26" s="159" t="n">
        <v>19</v>
      </c>
      <c r="G26" s="157" t="n">
        <v>16</v>
      </c>
      <c r="H26" s="159" t="n">
        <v>1</v>
      </c>
      <c r="I26" s="159" t="n">
        <v>0</v>
      </c>
      <c r="J26" s="159" t="n">
        <v>0</v>
      </c>
      <c r="K26" s="156" t="n">
        <v>44375</v>
      </c>
      <c r="L26" s="214" t="s">
        <v>2608</v>
      </c>
      <c r="M26" s="159" t="n">
        <v>101</v>
      </c>
      <c r="N26" s="159" t="n">
        <v>1</v>
      </c>
      <c r="O26" s="159" t="n">
        <v>0</v>
      </c>
      <c r="P26" s="159" t="n">
        <v>55</v>
      </c>
      <c r="Q26" s="159" t="n">
        <v>2</v>
      </c>
      <c r="R26" s="159" t="n">
        <v>1</v>
      </c>
      <c r="S26" s="157" t="n">
        <v>554</v>
      </c>
      <c r="T26" s="157" t="n">
        <v>145</v>
      </c>
      <c r="U26" s="157" t="n">
        <v>214</v>
      </c>
    </row>
    <row r="27">
      <c r="A27" s="157"/>
      <c r="B27" s="157"/>
      <c r="C27" s="157"/>
      <c r="D27" s="159"/>
      <c r="E27" s="159"/>
      <c r="F27" s="159"/>
      <c r="G27" s="215"/>
      <c r="H27" s="168"/>
      <c r="I27" s="168"/>
      <c r="J27" s="168"/>
      <c r="K27" s="156" t="n">
        <v>44376</v>
      </c>
      <c r="L27" s="216" t="s">
        <v>2609</v>
      </c>
      <c r="M27" s="159" t="n">
        <v>39</v>
      </c>
      <c r="N27" s="159" t="n">
        <v>0</v>
      </c>
      <c r="O27" s="159" t="n">
        <v>0</v>
      </c>
      <c r="P27" s="159" t="n">
        <v>443</v>
      </c>
      <c r="Q27" s="159" t="n">
        <v>0</v>
      </c>
      <c r="R27" s="159" t="n">
        <v>0</v>
      </c>
      <c r="S27" s="157"/>
      <c r="T27" s="157"/>
      <c r="U27" s="157"/>
    </row>
    <row r="28">
      <c r="A28" s="157" t="s">
        <v>2610</v>
      </c>
      <c r="B28" s="164" t="s">
        <v>2611</v>
      </c>
      <c r="C28" s="157" t="n">
        <v>7107</v>
      </c>
      <c r="D28" s="159" t="n">
        <v>28</v>
      </c>
      <c r="E28" s="159" t="n">
        <v>0</v>
      </c>
      <c r="F28" s="159" t="n">
        <v>20</v>
      </c>
      <c r="G28" s="157" t="n">
        <v>49</v>
      </c>
      <c r="H28" s="159" t="n">
        <v>2</v>
      </c>
      <c r="I28" s="159" t="n">
        <v>1</v>
      </c>
      <c r="J28" s="159" t="n">
        <v>1</v>
      </c>
      <c r="K28" s="156" t="n">
        <v>44372</v>
      </c>
      <c r="L28" s="208" t="s">
        <v>2612</v>
      </c>
      <c r="M28" s="159" t="n">
        <v>69</v>
      </c>
      <c r="N28" s="159" t="n">
        <v>4</v>
      </c>
      <c r="O28" s="159" t="n">
        <v>0</v>
      </c>
      <c r="P28" s="159" t="n">
        <v>1</v>
      </c>
      <c r="Q28" s="159" t="n">
        <v>0</v>
      </c>
      <c r="R28" s="159" t="n">
        <v>0</v>
      </c>
      <c r="S28" s="157" t="n">
        <v>683</v>
      </c>
      <c r="T28" s="157" t="n">
        <v>170</v>
      </c>
      <c r="U28" s="157" t="n">
        <v>497</v>
      </c>
    </row>
    <row r="29">
      <c r="A29" s="157"/>
      <c r="B29" s="157"/>
      <c r="C29" s="157"/>
      <c r="D29" s="159"/>
      <c r="E29" s="159"/>
      <c r="F29" s="159"/>
      <c r="G29" s="157"/>
      <c r="H29" s="159"/>
      <c r="I29" s="159"/>
      <c r="J29" s="159"/>
      <c r="K29" s="156" t="n">
        <v>44372</v>
      </c>
      <c r="L29" s="214" t="s">
        <v>2613</v>
      </c>
      <c r="M29" s="159" t="n">
        <v>144</v>
      </c>
      <c r="N29" s="159" t="n">
        <v>1</v>
      </c>
      <c r="O29" s="159" t="n">
        <v>0</v>
      </c>
      <c r="P29" s="159" t="n">
        <v>3609</v>
      </c>
      <c r="Q29" s="159" t="n">
        <v>2</v>
      </c>
      <c r="R29" s="208" t="n">
        <v>0</v>
      </c>
      <c r="S29" s="157"/>
      <c r="T29" s="157"/>
      <c r="U29" s="157"/>
    </row>
    <row r="30">
      <c r="A30" s="157" t="s">
        <v>2614</v>
      </c>
      <c r="B30" s="164" t="s">
        <v>2615</v>
      </c>
      <c r="C30" s="157" t="n">
        <v>8623</v>
      </c>
      <c r="D30" s="159" t="n">
        <v>22</v>
      </c>
      <c r="E30" s="159" t="n">
        <v>2</v>
      </c>
      <c r="F30" s="159" t="n">
        <v>8</v>
      </c>
      <c r="G30" s="157" t="n">
        <v>21</v>
      </c>
      <c r="H30" s="159" t="n">
        <v>1</v>
      </c>
      <c r="I30" s="159" t="n">
        <v>1</v>
      </c>
      <c r="J30" s="159" t="n">
        <v>0</v>
      </c>
      <c r="K30" s="157" t="s">
        <v>2616</v>
      </c>
      <c r="L30" s="213" t="s">
        <v>2617</v>
      </c>
      <c r="M30" s="159" t="n">
        <v>41</v>
      </c>
      <c r="N30" s="159" t="n">
        <v>0</v>
      </c>
      <c r="O30" s="159" t="n">
        <v>0</v>
      </c>
      <c r="P30" s="159" t="n">
        <v>41</v>
      </c>
      <c r="Q30" s="159" t="n">
        <v>0</v>
      </c>
      <c r="R30" s="159" t="n">
        <v>0</v>
      </c>
      <c r="S30" s="157" t="n">
        <v>185</v>
      </c>
      <c r="T30" s="157" t="n">
        <v>142</v>
      </c>
      <c r="U30" s="157" t="n">
        <v>230</v>
      </c>
    </row>
    <row r="31">
      <c r="A31" s="157"/>
      <c r="B31" s="157"/>
      <c r="C31" s="157"/>
      <c r="D31" s="159"/>
      <c r="E31" s="159"/>
      <c r="F31" s="159"/>
      <c r="G31" s="157"/>
      <c r="H31" s="159"/>
      <c r="I31" s="159"/>
      <c r="J31" s="159"/>
      <c r="K31" s="157" t="s">
        <v>2618</v>
      </c>
      <c r="L31" s="213" t="s">
        <v>2619</v>
      </c>
      <c r="M31" s="159" t="n">
        <v>1</v>
      </c>
      <c r="N31" s="159" t="n">
        <v>0</v>
      </c>
      <c r="O31" s="159" t="n">
        <v>0</v>
      </c>
      <c r="P31" s="159" t="n">
        <v>1</v>
      </c>
      <c r="Q31" s="159" t="n">
        <v>0</v>
      </c>
      <c r="R31" s="208" t="n">
        <v>0</v>
      </c>
      <c r="S31" s="157"/>
      <c r="T31" s="157"/>
      <c r="U31" s="157"/>
    </row>
    <row r="32">
      <c r="A32" s="157" t="s">
        <v>2620</v>
      </c>
      <c r="B32" s="157" t="s">
        <v>2621</v>
      </c>
      <c r="C32" s="157" t="n">
        <v>1481</v>
      </c>
      <c r="D32" s="159" t="n">
        <v>9</v>
      </c>
      <c r="E32" s="159" t="n">
        <v>0</v>
      </c>
      <c r="F32" s="159" t="n">
        <v>6</v>
      </c>
      <c r="G32" s="157" t="n">
        <v>75</v>
      </c>
      <c r="H32" s="159" t="n">
        <v>0</v>
      </c>
      <c r="I32" s="159" t="n">
        <v>0</v>
      </c>
      <c r="J32" s="159" t="n">
        <v>0</v>
      </c>
      <c r="K32" s="157" t="s">
        <v>2622</v>
      </c>
      <c r="L32" s="217" t="s">
        <v>2623</v>
      </c>
      <c r="M32" s="159" t="n">
        <v>433</v>
      </c>
      <c r="N32" s="159" t="n">
        <v>2</v>
      </c>
      <c r="O32" s="159" t="n">
        <v>0</v>
      </c>
      <c r="P32" s="159" t="n">
        <v>4285</v>
      </c>
      <c r="Q32" s="159" t="n">
        <v>6</v>
      </c>
      <c r="R32" s="159" t="n">
        <v>1</v>
      </c>
      <c r="S32" s="157" t="n">
        <v>1148</v>
      </c>
      <c r="T32" s="157" t="n">
        <v>138</v>
      </c>
      <c r="U32" s="157" t="n">
        <v>362</v>
      </c>
    </row>
    <row r="33">
      <c r="A33" s="157"/>
      <c r="B33" s="157"/>
      <c r="C33" s="157"/>
      <c r="D33" s="159"/>
      <c r="E33" s="159"/>
      <c r="F33" s="159"/>
      <c r="G33" s="157"/>
      <c r="H33" s="159"/>
      <c r="I33" s="159"/>
      <c r="J33" s="159"/>
      <c r="K33" s="157" t="s">
        <v>2624</v>
      </c>
      <c r="L33" s="214" t="s">
        <v>2625</v>
      </c>
      <c r="M33" s="159" t="n">
        <v>123</v>
      </c>
      <c r="N33" s="159" t="n">
        <v>0</v>
      </c>
      <c r="O33" s="159" t="n">
        <v>0</v>
      </c>
      <c r="P33" s="159" t="n">
        <v>1</v>
      </c>
      <c r="Q33" s="159" t="n">
        <v>0</v>
      </c>
      <c r="R33" s="208" t="n">
        <v>0</v>
      </c>
      <c r="S33" s="157"/>
      <c r="T33" s="157"/>
      <c r="U33" s="157"/>
    </row>
    <row r="34">
      <c r="A34" s="157" t="s">
        <v>2626</v>
      </c>
      <c r="B34" s="157" t="s">
        <v>2627</v>
      </c>
      <c r="C34" s="157" t="n">
        <v>2339</v>
      </c>
      <c r="D34" s="159" t="n">
        <v>23</v>
      </c>
      <c r="E34" s="159" t="n">
        <v>17</v>
      </c>
      <c r="F34" s="159" t="n">
        <v>2</v>
      </c>
      <c r="G34" s="157" t="n">
        <v>27</v>
      </c>
      <c r="H34" s="159" t="n">
        <v>0</v>
      </c>
      <c r="I34" s="159" t="n">
        <v>0</v>
      </c>
      <c r="J34" s="159" t="n">
        <v>0</v>
      </c>
      <c r="K34" s="157" t="s">
        <v>2628</v>
      </c>
      <c r="L34" s="214" t="s">
        <v>2629</v>
      </c>
      <c r="M34" s="159" t="n">
        <v>205</v>
      </c>
      <c r="N34" s="159" t="n">
        <v>0</v>
      </c>
      <c r="O34" s="159" t="n">
        <v>0</v>
      </c>
      <c r="P34" s="159" t="n">
        <v>3480</v>
      </c>
      <c r="Q34" s="159" t="n">
        <v>3</v>
      </c>
      <c r="R34" s="208" t="n">
        <v>1</v>
      </c>
      <c r="S34" s="157" t="n">
        <v>425</v>
      </c>
      <c r="T34" s="157" t="n">
        <v>158</v>
      </c>
      <c r="U34" s="157" t="n">
        <v>669</v>
      </c>
    </row>
    <row r="35">
      <c r="A35" s="157"/>
      <c r="B35" s="157"/>
      <c r="C35" s="157"/>
      <c r="D35" s="159"/>
      <c r="E35" s="159"/>
      <c r="F35" s="159"/>
      <c r="G35" s="157"/>
      <c r="H35" s="159"/>
      <c r="I35" s="159"/>
      <c r="J35" s="159"/>
      <c r="K35" s="157" t="s">
        <v>2630</v>
      </c>
      <c r="L35" s="214" t="s">
        <v>2631</v>
      </c>
      <c r="M35" s="159" t="n">
        <v>232</v>
      </c>
      <c r="N35" s="159" t="n">
        <v>3</v>
      </c>
      <c r="O35" s="159" t="n">
        <v>0</v>
      </c>
      <c r="P35" s="159" t="n">
        <v>15</v>
      </c>
      <c r="Q35" s="159" t="n">
        <v>0</v>
      </c>
      <c r="R35" s="208" t="n">
        <v>0</v>
      </c>
      <c r="S35" s="157"/>
      <c r="T35" s="157"/>
      <c r="U35" s="157"/>
    </row>
    <row r="36">
      <c r="A36" s="157"/>
      <c r="B36" s="157"/>
      <c r="C36" s="157"/>
      <c r="D36" s="159"/>
      <c r="E36" s="159"/>
      <c r="F36" s="159"/>
      <c r="G36" s="157"/>
      <c r="H36" s="159"/>
      <c r="I36" s="159"/>
      <c r="J36" s="159"/>
      <c r="K36" s="157" t="s">
        <v>2632</v>
      </c>
      <c r="L36" s="214" t="s">
        <v>2633</v>
      </c>
      <c r="M36" s="159" t="n">
        <v>50</v>
      </c>
      <c r="N36" s="159" t="n">
        <v>0</v>
      </c>
      <c r="O36" s="159" t="n">
        <v>0</v>
      </c>
      <c r="P36" s="159" t="n">
        <v>1</v>
      </c>
      <c r="Q36" s="159" t="n">
        <v>0</v>
      </c>
      <c r="R36" s="208" t="n">
        <v>0</v>
      </c>
      <c r="S36" s="157"/>
      <c r="T36" s="157"/>
      <c r="U36" s="157"/>
    </row>
    <row r="37">
      <c r="A37" s="157" t="s">
        <v>2634</v>
      </c>
      <c r="B37" s="157" t="s">
        <v>2635</v>
      </c>
      <c r="C37" s="157" t="n">
        <v>3900</v>
      </c>
      <c r="D37" s="159" t="n">
        <v>33</v>
      </c>
      <c r="E37" s="159" t="n">
        <v>1</v>
      </c>
      <c r="F37" s="159" t="n">
        <v>15</v>
      </c>
      <c r="G37" s="157" t="n">
        <v>125</v>
      </c>
      <c r="H37" s="159" t="n">
        <v>6</v>
      </c>
      <c r="I37" s="159" t="n">
        <v>2</v>
      </c>
      <c r="J37" s="159" t="n">
        <v>0</v>
      </c>
      <c r="K37" s="157" t="s">
        <v>2636</v>
      </c>
      <c r="L37" s="217" t="s">
        <v>2637</v>
      </c>
      <c r="M37" s="159" t="n">
        <v>536</v>
      </c>
      <c r="N37" s="159" t="n">
        <v>7</v>
      </c>
      <c r="O37" s="159" t="n">
        <v>0</v>
      </c>
      <c r="P37" s="159" t="n">
        <v>553</v>
      </c>
      <c r="Q37" s="159" t="n">
        <v>3</v>
      </c>
      <c r="R37" s="208" t="n">
        <v>1</v>
      </c>
      <c r="S37" s="157" t="n">
        <v>481</v>
      </c>
      <c r="T37" s="157" t="s">
        <v>2638</v>
      </c>
      <c r="U37" s="157" t="n">
        <v>170</v>
      </c>
    </row>
    <row r="38">
      <c r="A38" s="157"/>
      <c r="B38" s="157"/>
      <c r="C38" s="157"/>
      <c r="D38" s="159"/>
      <c r="E38" s="159"/>
      <c r="F38" s="159"/>
      <c r="G38" s="157"/>
      <c r="H38" s="159"/>
      <c r="I38" s="159"/>
      <c r="J38" s="159"/>
      <c r="K38" s="157" t="s">
        <v>2639</v>
      </c>
      <c r="L38" s="217" t="s">
        <v>2640</v>
      </c>
      <c r="M38" s="218" t="s">
        <v>2641</v>
      </c>
      <c r="N38" s="218" t="s">
        <v>2642</v>
      </c>
      <c r="O38" s="218" t="s">
        <v>2643</v>
      </c>
      <c r="P38" s="159" t="n">
        <v>647</v>
      </c>
      <c r="Q38" s="159" t="n">
        <v>3</v>
      </c>
      <c r="R38" s="208" t="n">
        <v>1</v>
      </c>
      <c r="S38" s="157"/>
      <c r="T38" s="157"/>
      <c r="U38" s="157"/>
    </row>
    <row r="39">
      <c r="A39" s="157"/>
      <c r="B39" s="157"/>
      <c r="C39" s="157"/>
      <c r="D39" s="159"/>
      <c r="E39" s="159"/>
      <c r="F39" s="159"/>
      <c r="G39" s="157"/>
      <c r="H39" s="159"/>
      <c r="I39" s="159"/>
      <c r="J39" s="159"/>
      <c r="K39" s="157" t="s">
        <v>2644</v>
      </c>
      <c r="L39" s="217" t="s">
        <v>2645</v>
      </c>
      <c r="M39" s="159" t="n">
        <v>1</v>
      </c>
      <c r="N39" s="159" t="n">
        <v>0</v>
      </c>
      <c r="O39" s="159" t="n">
        <v>1</v>
      </c>
      <c r="P39" s="159" t="n">
        <v>1</v>
      </c>
      <c r="Q39" s="159" t="n">
        <v>0</v>
      </c>
      <c r="R39" s="208" t="n">
        <v>0</v>
      </c>
      <c r="S39" s="157"/>
      <c r="T39" s="157"/>
      <c r="U39" s="157"/>
    </row>
    <row r="40">
      <c r="A40" s="157" t="s">
        <v>2646</v>
      </c>
      <c r="B40" s="157" t="s">
        <v>2647</v>
      </c>
      <c r="C40" s="157" t="n">
        <v>3622</v>
      </c>
      <c r="D40" s="159" t="n">
        <v>61</v>
      </c>
      <c r="E40" s="159" t="n">
        <v>1</v>
      </c>
      <c r="F40" s="159" t="n">
        <v>47</v>
      </c>
      <c r="G40" s="157" t="n">
        <v>280</v>
      </c>
      <c r="H40" s="159" t="n">
        <v>3</v>
      </c>
      <c r="I40" s="159" t="n">
        <v>13</v>
      </c>
      <c r="J40" s="159" t="n">
        <v>0</v>
      </c>
      <c r="K40" s="157" t="s">
        <v>2648</v>
      </c>
      <c r="L40" s="217" t="s">
        <v>2649</v>
      </c>
      <c r="M40" s="159" t="n">
        <v>24</v>
      </c>
      <c r="N40" s="159" t="n">
        <v>8</v>
      </c>
      <c r="O40" s="159" t="n">
        <v>0</v>
      </c>
      <c r="P40" s="159" t="n">
        <v>553</v>
      </c>
      <c r="Q40" s="159" t="n">
        <v>3</v>
      </c>
      <c r="R40" s="208" t="n">
        <v>1</v>
      </c>
      <c r="S40" s="157"/>
      <c r="T40" s="157"/>
      <c r="U40" s="157"/>
    </row>
    <row r="41">
      <c r="A41" s="157"/>
      <c r="B41" s="157"/>
      <c r="C41" s="157"/>
      <c r="D41" s="159"/>
      <c r="E41" s="159"/>
      <c r="F41" s="159"/>
      <c r="G41" s="157"/>
      <c r="H41" s="159"/>
      <c r="I41" s="159"/>
      <c r="J41" s="159"/>
      <c r="K41" s="157" t="s">
        <v>2650</v>
      </c>
      <c r="L41" s="217" t="s">
        <v>2651</v>
      </c>
      <c r="M41" s="159" t="n">
        <v>963</v>
      </c>
      <c r="N41" s="159" t="n">
        <v>2</v>
      </c>
      <c r="O41" s="159" t="n">
        <v>0</v>
      </c>
      <c r="P41" s="159" t="n">
        <v>673</v>
      </c>
      <c r="Q41" s="159" t="n">
        <v>1</v>
      </c>
      <c r="R41" s="208" t="n">
        <v>0</v>
      </c>
      <c r="S41" s="157"/>
      <c r="T41" s="157"/>
      <c r="U41" s="157"/>
    </row>
    <row r="42">
      <c r="A42" s="157"/>
      <c r="B42" s="157"/>
      <c r="C42" s="157"/>
      <c r="D42" s="159"/>
      <c r="E42" s="159"/>
      <c r="F42" s="159"/>
      <c r="G42" s="157"/>
      <c r="H42" s="159"/>
      <c r="I42" s="159"/>
      <c r="J42" s="159"/>
      <c r="K42" s="157" t="s">
        <v>2652</v>
      </c>
      <c r="L42" s="217" t="s">
        <v>2653</v>
      </c>
      <c r="M42" s="159" t="n">
        <v>23</v>
      </c>
      <c r="N42" s="159" t="n">
        <v>1</v>
      </c>
      <c r="O42" s="159" t="n">
        <v>0</v>
      </c>
      <c r="P42" s="159" t="n">
        <v>3</v>
      </c>
      <c r="Q42" s="159" t="n">
        <v>3</v>
      </c>
      <c r="R42" s="208" t="n">
        <v>0</v>
      </c>
      <c r="S42" s="157"/>
      <c r="T42" s="157"/>
      <c r="U42" s="157"/>
    </row>
    <row r="43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S43" s="219"/>
      <c r="T43" s="219"/>
      <c r="U43" s="219"/>
    </row>
    <row r="44">
      <c r="A44" s="189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S44" s="219"/>
      <c r="T44" s="219"/>
      <c r="U44" s="219"/>
    </row>
    <row r="45">
      <c r="A45" s="189"/>
      <c r="B45" s="189"/>
      <c r="C45" s="189"/>
      <c r="D45" s="189"/>
      <c r="E45" s="191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S45" s="219"/>
      <c r="T45" s="219"/>
      <c r="U45" s="219"/>
    </row>
    <row r="46">
      <c r="A46" s="189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S46" s="219"/>
      <c r="T46" s="219"/>
      <c r="U46" s="219"/>
    </row>
    <row r="47">
      <c r="A47" s="189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S47" s="219"/>
      <c r="T47" s="219"/>
      <c r="U47" s="219"/>
    </row>
    <row r="48">
      <c r="A48" s="189"/>
      <c r="B48" s="189"/>
      <c r="C48" s="189"/>
      <c r="D48" s="191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S48" s="219"/>
      <c r="T48" s="219"/>
      <c r="U48" s="219"/>
    </row>
    <row r="49">
      <c r="A49" s="189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S49" s="219"/>
      <c r="T49" s="219"/>
      <c r="U49" s="219"/>
    </row>
    <row r="50">
      <c r="A50" s="189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S50" s="219"/>
      <c r="T50" s="219"/>
      <c r="U50" s="219"/>
    </row>
    <row r="51">
      <c r="A51" s="189"/>
      <c r="B51" s="189"/>
      <c r="C51" s="189"/>
      <c r="D51" s="189"/>
      <c r="E51" s="191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S51" s="219"/>
      <c r="T51" s="219"/>
      <c r="U51" s="219"/>
    </row>
    <row r="52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S52" s="219"/>
      <c r="T52" s="219"/>
      <c r="U52" s="219"/>
    </row>
    <row r="53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S53" s="219"/>
      <c r="T53" s="219"/>
      <c r="U53" s="219"/>
    </row>
    <row r="54">
      <c r="A54" s="189"/>
      <c r="B54" s="189"/>
      <c r="C54" s="189"/>
      <c r="D54" s="191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S54" s="219"/>
      <c r="T54" s="219"/>
      <c r="U54" s="219"/>
    </row>
    <row r="55">
      <c r="A55" s="189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S55" s="219"/>
      <c r="T55" s="219"/>
      <c r="U55" s="219"/>
    </row>
    <row r="56">
      <c r="A56" s="189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S56" s="219"/>
      <c r="T56" s="219"/>
      <c r="U56" s="219"/>
    </row>
    <row r="57">
      <c r="A57" s="189"/>
      <c r="B57" s="189"/>
      <c r="C57" s="189"/>
      <c r="D57" s="189"/>
      <c r="E57" s="191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S57" s="219"/>
      <c r="T57" s="219"/>
      <c r="U57" s="219"/>
    </row>
    <row r="58">
      <c r="A58" s="189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S58" s="219"/>
      <c r="T58" s="219"/>
      <c r="U58" s="219"/>
    </row>
    <row r="59">
      <c r="A59" s="189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S59" s="219"/>
      <c r="T59" s="219"/>
      <c r="U59" s="219"/>
    </row>
    <row r="60">
      <c r="A60" s="189"/>
      <c r="B60" s="189"/>
      <c r="C60" s="189"/>
      <c r="D60" s="191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S60" s="219"/>
      <c r="T60" s="219"/>
      <c r="U60" s="219"/>
    </row>
    <row r="6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S61" s="219"/>
      <c r="T61" s="219"/>
      <c r="U61" s="219"/>
    </row>
    <row r="62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S62" s="219"/>
      <c r="T62" s="219"/>
      <c r="U62" s="219"/>
    </row>
    <row r="63">
      <c r="A63" s="189"/>
      <c r="B63" s="189"/>
      <c r="C63" s="189"/>
      <c r="D63" s="189"/>
      <c r="E63" s="191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S63" s="219"/>
      <c r="T63" s="219"/>
      <c r="U63" s="219"/>
    </row>
    <row r="64">
      <c r="A64" s="189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S64" s="219"/>
      <c r="T64" s="219"/>
      <c r="U64" s="219"/>
    </row>
    <row r="65">
      <c r="A65" s="189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S65" s="219"/>
      <c r="T65" s="219"/>
      <c r="U65" s="219"/>
    </row>
    <row r="66">
      <c r="A66" s="189"/>
      <c r="B66" s="189"/>
      <c r="C66" s="189"/>
      <c r="D66" s="191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S66" s="219"/>
      <c r="T66" s="219"/>
      <c r="U66" s="219"/>
    </row>
    <row r="67">
      <c r="A67" s="189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S67" s="219"/>
      <c r="T67" s="219"/>
      <c r="U67" s="219"/>
    </row>
    <row r="68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S68" s="219"/>
      <c r="T68" s="219"/>
      <c r="U68" s="219"/>
    </row>
    <row r="69">
      <c r="A69" s="189"/>
      <c r="B69" s="189"/>
      <c r="C69" s="189"/>
      <c r="D69" s="189"/>
      <c r="E69" s="191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S69" s="219"/>
      <c r="T69" s="219"/>
      <c r="U69" s="219"/>
    </row>
    <row r="70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S70" s="219"/>
      <c r="T70" s="219"/>
      <c r="U70" s="219"/>
    </row>
    <row r="7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S71" s="219"/>
      <c r="T71" s="219"/>
      <c r="U71" s="219"/>
    </row>
    <row r="72">
      <c r="A72" s="189"/>
      <c r="B72" s="189"/>
      <c r="C72" s="189"/>
      <c r="D72" s="191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S72" s="219"/>
      <c r="T72" s="219"/>
      <c r="U72" s="219"/>
    </row>
    <row r="73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S73" s="219"/>
      <c r="T73" s="219"/>
      <c r="U73" s="219"/>
    </row>
    <row r="74">
      <c r="A74" s="189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S74" s="219"/>
      <c r="T74" s="219"/>
      <c r="U74" s="219"/>
    </row>
    <row r="75">
      <c r="A75" s="189"/>
      <c r="B75" s="189"/>
      <c r="C75" s="189"/>
      <c r="D75" s="189"/>
      <c r="E75" s="191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S75" s="219"/>
      <c r="T75" s="219"/>
      <c r="U75" s="219"/>
    </row>
    <row r="76">
      <c r="A76" s="189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S76" s="219"/>
      <c r="T76" s="219"/>
      <c r="U76" s="219"/>
    </row>
    <row r="77">
      <c r="A77" s="189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S77" s="219"/>
      <c r="T77" s="219"/>
      <c r="U77" s="219"/>
    </row>
    <row r="78">
      <c r="A78" s="189"/>
      <c r="B78" s="189"/>
      <c r="C78" s="189"/>
      <c r="D78" s="191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S78" s="219"/>
      <c r="T78" s="219"/>
      <c r="U78" s="219"/>
    </row>
    <row r="79">
      <c r="A79" s="189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S79" s="219"/>
      <c r="T79" s="219"/>
      <c r="U79" s="219"/>
    </row>
    <row r="80">
      <c r="A80" s="189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S80" s="219"/>
      <c r="T80" s="219"/>
      <c r="U80" s="219"/>
    </row>
    <row r="81">
      <c r="A81" s="189"/>
      <c r="B81" s="189"/>
      <c r="C81" s="189"/>
      <c r="D81" s="189"/>
      <c r="E81" s="191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S81" s="219"/>
      <c r="T81" s="219"/>
      <c r="U81" s="219"/>
    </row>
    <row r="82">
      <c r="A82" s="189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S82" s="219"/>
      <c r="T82" s="219"/>
      <c r="U82" s="219"/>
    </row>
    <row r="83">
      <c r="A83" s="189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S83" s="219"/>
      <c r="T83" s="219"/>
      <c r="U83" s="219"/>
    </row>
    <row r="84">
      <c r="A84" s="189"/>
      <c r="B84" s="189"/>
      <c r="C84" s="189"/>
      <c r="D84" s="191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S84" s="219"/>
      <c r="T84" s="219"/>
      <c r="U84" s="219"/>
    </row>
    <row r="85">
      <c r="A85" s="189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S85" s="219"/>
      <c r="T85" s="219"/>
      <c r="U85" s="219"/>
    </row>
    <row r="86">
      <c r="A86" s="189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S86" s="219"/>
      <c r="T86" s="219"/>
      <c r="U86" s="219"/>
    </row>
    <row r="87">
      <c r="A87" s="189"/>
      <c r="B87" s="189"/>
      <c r="C87" s="189"/>
      <c r="D87" s="189"/>
      <c r="E87" s="191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S87" s="219"/>
      <c r="T87" s="219"/>
      <c r="U87" s="219"/>
    </row>
    <row r="88">
      <c r="A88" s="189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S88" s="219"/>
      <c r="T88" s="219"/>
      <c r="U88" s="219"/>
    </row>
    <row r="89">
      <c r="A89" s="189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S89" s="219"/>
      <c r="T89" s="219"/>
      <c r="U89" s="219"/>
    </row>
    <row r="90">
      <c r="A90" s="189"/>
      <c r="B90" s="189"/>
      <c r="C90" s="189"/>
      <c r="D90" s="191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S90" s="219"/>
      <c r="T90" s="219"/>
      <c r="U90" s="219"/>
    </row>
    <row r="91">
      <c r="A91" s="189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S91" s="219"/>
      <c r="T91" s="219"/>
      <c r="U91" s="219"/>
    </row>
    <row r="92">
      <c r="A92" s="189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S92" s="219"/>
      <c r="T92" s="219"/>
      <c r="U92" s="219"/>
    </row>
    <row r="93">
      <c r="A93" s="189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S93" s="219"/>
      <c r="T93" s="219"/>
      <c r="U93" s="219"/>
    </row>
    <row r="94">
      <c r="A94" s="189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S94" s="219"/>
      <c r="T94" s="219"/>
      <c r="U94" s="219"/>
    </row>
    <row r="95">
      <c r="A95" s="189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S95" s="219"/>
      <c r="T95" s="219"/>
      <c r="U95" s="219"/>
    </row>
    <row r="96">
      <c r="A96" s="189"/>
      <c r="B96" s="189"/>
      <c r="C96" s="189"/>
      <c r="D96" s="191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S96" s="219"/>
      <c r="T96" s="219"/>
      <c r="U96" s="219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S97" s="219"/>
      <c r="T97" s="219"/>
      <c r="U97" s="219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S98" s="219"/>
      <c r="T98" s="219"/>
      <c r="U98" s="219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S99" s="219"/>
      <c r="T99" s="219"/>
      <c r="U99" s="219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S100" s="219"/>
      <c r="T100" s="219"/>
      <c r="U100" s="219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S101" s="219"/>
      <c r="T101" s="219"/>
      <c r="U101" s="219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S102" s="219"/>
      <c r="T102" s="219"/>
      <c r="U102" s="219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S103" s="219"/>
      <c r="T103" s="219"/>
      <c r="U103" s="219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S104" s="219"/>
      <c r="T104" s="219"/>
      <c r="U104" s="219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S105" s="219"/>
      <c r="T105" s="219"/>
      <c r="U105" s="219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S106" s="219"/>
      <c r="T106" s="219"/>
      <c r="U106" s="219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S107" s="219"/>
      <c r="T107" s="219"/>
      <c r="U107" s="219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S108" s="219"/>
      <c r="T108" s="219"/>
      <c r="U108" s="219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S109" s="219"/>
      <c r="T109" s="219"/>
      <c r="U109" s="219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S110" s="219"/>
      <c r="T110" s="219"/>
      <c r="U110" s="219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S111" s="219"/>
      <c r="T111" s="219"/>
      <c r="U111" s="219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S112" s="219"/>
      <c r="T112" s="219"/>
      <c r="U112" s="219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S113" s="219"/>
      <c r="T113" s="219"/>
      <c r="U113" s="219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S114" s="219"/>
      <c r="T114" s="219"/>
      <c r="U114" s="219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S115" s="219"/>
      <c r="T115" s="219"/>
      <c r="U115" s="219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S116" s="219"/>
      <c r="T116" s="219"/>
      <c r="U116" s="219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S117" s="219"/>
      <c r="T117" s="219"/>
      <c r="U117" s="219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S118" s="219"/>
      <c r="T118" s="219"/>
      <c r="U118" s="219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S119" s="219"/>
      <c r="T119" s="219"/>
      <c r="U119" s="219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S120" s="219"/>
      <c r="T120" s="219"/>
      <c r="U120" s="219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S121" s="219"/>
      <c r="T121" s="219"/>
      <c r="U121" s="219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S122" s="219"/>
      <c r="T122" s="219"/>
      <c r="U122" s="219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S123" s="219"/>
      <c r="T123" s="219"/>
      <c r="U123" s="219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S124" s="219"/>
      <c r="T124" s="219"/>
      <c r="U124" s="219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S125" s="219"/>
      <c r="T125" s="219"/>
      <c r="U125" s="219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S126" s="219"/>
      <c r="T126" s="219"/>
      <c r="U126" s="219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S127" s="219"/>
      <c r="T127" s="219"/>
      <c r="U127" s="219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S128" s="219"/>
      <c r="T128" s="219"/>
      <c r="U128" s="219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S129" s="219"/>
      <c r="T129" s="219"/>
      <c r="U129" s="219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S130" s="219"/>
      <c r="T130" s="219"/>
      <c r="U130" s="219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S131" s="219"/>
      <c r="T131" s="219"/>
      <c r="U131" s="219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S132" s="219"/>
      <c r="T132" s="219"/>
      <c r="U132" s="219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S133" s="219"/>
      <c r="T133" s="219"/>
      <c r="U133" s="219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S134" s="219"/>
      <c r="T134" s="219"/>
      <c r="U134" s="219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S135" s="219"/>
      <c r="T135" s="219"/>
      <c r="U135" s="219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S136" s="219"/>
      <c r="T136" s="219"/>
      <c r="U136" s="219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S137" s="219"/>
      <c r="T137" s="219"/>
      <c r="U137" s="219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S138" s="219"/>
      <c r="T138" s="219"/>
      <c r="U138" s="219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S139" s="219"/>
      <c r="T139" s="219"/>
      <c r="U139" s="219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S140" s="219"/>
      <c r="T140" s="219"/>
      <c r="U140" s="219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S141" s="219"/>
      <c r="T141" s="219"/>
      <c r="U141" s="219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S142" s="219"/>
      <c r="T142" s="219"/>
      <c r="U142" s="219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S143" s="219"/>
      <c r="T143" s="219"/>
      <c r="U143" s="219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S144" s="219"/>
      <c r="T144" s="219"/>
      <c r="U144" s="219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S145" s="219"/>
      <c r="T145" s="219"/>
      <c r="U145" s="219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S146" s="219"/>
      <c r="T146" s="219"/>
      <c r="U146" s="219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S147" s="219"/>
      <c r="T147" s="219"/>
      <c r="U147" s="219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S148" s="219"/>
      <c r="T148" s="219"/>
      <c r="U148" s="219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S149" s="219"/>
      <c r="T149" s="219"/>
      <c r="U149" s="219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S150" s="219"/>
      <c r="T150" s="219"/>
      <c r="U150" s="219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S151" s="219"/>
      <c r="T151" s="219"/>
      <c r="U151" s="219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S152" s="219"/>
      <c r="T152" s="219"/>
      <c r="U152" s="219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S153" s="219"/>
      <c r="T153" s="219"/>
      <c r="U153" s="219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S154" s="219"/>
      <c r="T154" s="219"/>
      <c r="U154" s="219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S155" s="219"/>
      <c r="T155" s="219"/>
      <c r="U155" s="219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S156" s="219"/>
      <c r="T156" s="219"/>
      <c r="U156" s="219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S157" s="219"/>
      <c r="T157" s="219"/>
      <c r="U157" s="219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S158" s="219"/>
      <c r="T158" s="219"/>
      <c r="U158" s="219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S159" s="219"/>
      <c r="T159" s="219"/>
      <c r="U159" s="219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S160" s="219"/>
      <c r="T160" s="219"/>
      <c r="U160" s="219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S161" s="219"/>
      <c r="T161" s="219"/>
      <c r="U161" s="219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S162" s="219"/>
      <c r="T162" s="219"/>
      <c r="U162" s="219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S163" s="219"/>
      <c r="T163" s="219"/>
      <c r="U163" s="219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S164" s="219"/>
      <c r="T164" s="219"/>
      <c r="U164" s="219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S165" s="219"/>
      <c r="T165" s="219"/>
      <c r="U165" s="219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S166" s="219"/>
      <c r="T166" s="219"/>
      <c r="U166" s="219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S167" s="219"/>
      <c r="T167" s="219"/>
      <c r="U167" s="219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S168" s="219"/>
      <c r="T168" s="219"/>
      <c r="U168" s="219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S169" s="219"/>
      <c r="T169" s="219"/>
      <c r="U169" s="219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S170" s="219"/>
      <c r="T170" s="219"/>
      <c r="U170" s="219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S171" s="219"/>
      <c r="T171" s="219"/>
      <c r="U171" s="219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S172" s="219"/>
      <c r="T172" s="219"/>
      <c r="U172" s="219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S173" s="219"/>
      <c r="T173" s="219"/>
      <c r="U173" s="219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S174" s="219"/>
      <c r="T174" s="219"/>
      <c r="U174" s="219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S175" s="219"/>
      <c r="T175" s="219"/>
      <c r="U175" s="219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S176" s="219"/>
      <c r="T176" s="219"/>
      <c r="U176" s="219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S177" s="219"/>
      <c r="T177" s="219"/>
      <c r="U177" s="219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S178" s="219"/>
      <c r="T178" s="219"/>
      <c r="U178" s="219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S179" s="219"/>
      <c r="T179" s="219"/>
      <c r="U179" s="219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S180" s="219"/>
      <c r="T180" s="219"/>
      <c r="U180" s="219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S181" s="219"/>
      <c r="T181" s="219"/>
      <c r="U181" s="219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S182" s="219"/>
      <c r="T182" s="219"/>
      <c r="U182" s="219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S183" s="219"/>
      <c r="T183" s="219"/>
      <c r="U183" s="219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S184" s="219"/>
      <c r="T184" s="219"/>
      <c r="U184" s="219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S185" s="219"/>
      <c r="T185" s="219"/>
      <c r="U185" s="219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S186" s="219"/>
      <c r="T186" s="219"/>
      <c r="U186" s="219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S187" s="219"/>
      <c r="T187" s="219"/>
      <c r="U187" s="219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S188" s="219"/>
      <c r="T188" s="219"/>
      <c r="U188" s="219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S189" s="219"/>
      <c r="T189" s="219"/>
      <c r="U189" s="219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S190" s="219"/>
      <c r="T190" s="219"/>
      <c r="U190" s="219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S191" s="219"/>
      <c r="T191" s="219"/>
      <c r="U191" s="219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S192" s="219"/>
      <c r="T192" s="219"/>
      <c r="U192" s="219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S193" s="219"/>
      <c r="T193" s="219"/>
      <c r="U193" s="219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S194" s="219"/>
      <c r="T194" s="219"/>
      <c r="U194" s="219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S195" s="219"/>
      <c r="T195" s="219"/>
      <c r="U195" s="219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S196" s="219"/>
      <c r="T196" s="219"/>
      <c r="U196" s="219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S197" s="219"/>
      <c r="T197" s="219"/>
      <c r="U197" s="219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S198" s="219"/>
      <c r="T198" s="219"/>
      <c r="U198" s="219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S199" s="219"/>
      <c r="T199" s="219"/>
      <c r="U199" s="219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S200" s="219"/>
      <c r="T200" s="219"/>
      <c r="U200" s="219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S201" s="219"/>
      <c r="T201" s="219"/>
      <c r="U201" s="219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S202" s="219"/>
      <c r="T202" s="219"/>
      <c r="U202" s="219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S203" s="219"/>
      <c r="T203" s="219"/>
      <c r="U203" s="219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S204" s="219"/>
      <c r="T204" s="219"/>
      <c r="U204" s="219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S205" s="219"/>
      <c r="T205" s="219"/>
      <c r="U205" s="219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S206" s="219"/>
      <c r="T206" s="219"/>
      <c r="U206" s="219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S207" s="219"/>
      <c r="T207" s="219"/>
      <c r="U207" s="219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S208" s="219"/>
      <c r="T208" s="219"/>
      <c r="U208" s="219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S209" s="219"/>
      <c r="T209" s="219"/>
      <c r="U209" s="219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S210" s="219"/>
      <c r="T210" s="219"/>
      <c r="U210" s="219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S211" s="219"/>
      <c r="T211" s="219"/>
      <c r="U211" s="219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S212" s="219"/>
      <c r="T212" s="219"/>
      <c r="U212" s="219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S213" s="219"/>
      <c r="T213" s="219"/>
      <c r="U213" s="219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S214" s="219"/>
      <c r="T214" s="219"/>
      <c r="U214" s="219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S215" s="219"/>
      <c r="T215" s="219"/>
      <c r="U215" s="219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S216" s="219"/>
      <c r="T216" s="219"/>
      <c r="U216" s="219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S217" s="219"/>
      <c r="T217" s="219"/>
      <c r="U217" s="219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S218" s="219"/>
      <c r="T218" s="219"/>
      <c r="U218" s="219"/>
    </row>
  </sheetData>
  <mergeCells count="236">
    <mergeCell ref="A1:A2"/>
    <mergeCell ref="B1:B2"/>
    <mergeCell ref="C1:F1"/>
    <mergeCell ref="G1:J1"/>
    <mergeCell ref="K1:K2"/>
    <mergeCell ref="L1:L2"/>
    <mergeCell ref="M1:O1"/>
    <mergeCell ref="P1:R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S5:S6"/>
    <mergeCell ref="T5:T6"/>
    <mergeCell ref="U5:U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S7:S8"/>
    <mergeCell ref="T7:T8"/>
    <mergeCell ref="U7:U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S9:S10"/>
    <mergeCell ref="T9:T10"/>
    <mergeCell ref="U9:U1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S11:S12"/>
    <mergeCell ref="T11:T12"/>
    <mergeCell ref="U11:U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S13:S14"/>
    <mergeCell ref="T13:T14"/>
    <mergeCell ref="U13:U14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S15:S17"/>
    <mergeCell ref="T15:T17"/>
    <mergeCell ref="U15:U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J19"/>
    <mergeCell ref="S18:S19"/>
    <mergeCell ref="T18:T19"/>
    <mergeCell ref="U18:U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S20:S21"/>
    <mergeCell ref="T20:T21"/>
    <mergeCell ref="U20:U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S22:S23"/>
    <mergeCell ref="T22:T23"/>
    <mergeCell ref="U22:U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S24:S25"/>
    <mergeCell ref="T24:T25"/>
    <mergeCell ref="U24:U25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S26:S27"/>
    <mergeCell ref="T26:T27"/>
    <mergeCell ref="U26:U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S28:S29"/>
    <mergeCell ref="T28:T29"/>
    <mergeCell ref="U28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S30:S31"/>
    <mergeCell ref="T30:T31"/>
    <mergeCell ref="U30:U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S32:S33"/>
    <mergeCell ref="T32:T33"/>
    <mergeCell ref="U32:U33"/>
    <mergeCell ref="A34:A36"/>
    <mergeCell ref="B34:B36"/>
    <mergeCell ref="C34:C36"/>
    <mergeCell ref="D34:D36"/>
    <mergeCell ref="E34:E36"/>
    <mergeCell ref="F34:F36"/>
    <mergeCell ref="G34:G36"/>
    <mergeCell ref="H34:H36"/>
    <mergeCell ref="I34:I36"/>
    <mergeCell ref="J34:J36"/>
    <mergeCell ref="S34:S36"/>
    <mergeCell ref="T34:T36"/>
    <mergeCell ref="U34:U36"/>
    <mergeCell ref="A37:A39"/>
    <mergeCell ref="B37:B39"/>
    <mergeCell ref="C37:C39"/>
    <mergeCell ref="D37:D39"/>
    <mergeCell ref="E37:E39"/>
    <mergeCell ref="F37:F39"/>
    <mergeCell ref="G37:G39"/>
    <mergeCell ref="H37:H39"/>
    <mergeCell ref="I37:I39"/>
    <mergeCell ref="J37:J39"/>
    <mergeCell ref="S37:S39"/>
    <mergeCell ref="T37:T39"/>
    <mergeCell ref="U37:U39"/>
    <mergeCell ref="A40:A42"/>
    <mergeCell ref="B40:B42"/>
    <mergeCell ref="C40:C42"/>
    <mergeCell ref="D40:D42"/>
    <mergeCell ref="E40:E42"/>
    <mergeCell ref="F40:F42"/>
    <mergeCell ref="G40:G42"/>
    <mergeCell ref="H40:H42"/>
    <mergeCell ref="I40:I42"/>
    <mergeCell ref="J40:J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23" width="16.59" customWidth="1"/>
  </cols>
  <sheetData>
    <row r="1">
      <c r="A1" s="220" t="s">
        <v>2654</v>
      </c>
      <c r="B1" s="221" t="s">
        <v>2655</v>
      </c>
      <c r="C1" s="221"/>
      <c r="D1" s="221" t="s">
        <v>2656</v>
      </c>
      <c r="E1" s="221"/>
      <c r="F1" s="221" t="s">
        <v>2657</v>
      </c>
      <c r="G1" s="221" t="s">
        <v>2658</v>
      </c>
      <c r="H1" s="221"/>
      <c r="I1" s="221" t="s">
        <v>2659</v>
      </c>
      <c r="J1" s="22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222"/>
      <c r="B2" s="222" t="s">
        <v>2660</v>
      </c>
      <c r="C2" s="222" t="s">
        <v>2661</v>
      </c>
      <c r="D2" s="222" t="s">
        <v>2662</v>
      </c>
      <c r="E2" s="222" t="s">
        <v>2663</v>
      </c>
      <c r="F2" s="222"/>
      <c r="G2" s="222" t="s">
        <v>2664</v>
      </c>
      <c r="H2" s="222" t="s">
        <v>2665</v>
      </c>
      <c r="I2" s="222" t="s">
        <v>2666</v>
      </c>
      <c r="J2" s="222" t="s">
        <v>2667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222" t="s">
        <v>2668</v>
      </c>
      <c r="B3" s="222" t="n">
        <v>0.44</v>
      </c>
      <c r="C3" s="222" t="s">
        <v>2669</v>
      </c>
      <c r="D3" s="222" t="n">
        <v>5927</v>
      </c>
      <c r="E3" s="222" t="s">
        <v>2670</v>
      </c>
      <c r="F3" s="222" t="s">
        <v>2671</v>
      </c>
      <c r="G3" s="222" t="n">
        <v>0.44</v>
      </c>
      <c r="H3" s="222" t="n">
        <v>0.99</v>
      </c>
      <c r="I3" s="222" t="n">
        <v>5927</v>
      </c>
      <c r="J3" s="222" t="n">
        <f>SUM(K3:L3)</f>
        <v>6049</v>
      </c>
      <c r="K3" s="222" t="n">
        <v>5927</v>
      </c>
      <c r="L3" s="2" t="n">
        <v>122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22" t="s">
        <v>2672</v>
      </c>
      <c r="B4" s="222" t="n">
        <v>0.11</v>
      </c>
      <c r="C4" s="222" t="s">
        <v>2673</v>
      </c>
      <c r="D4" s="222" t="n">
        <v>860</v>
      </c>
      <c r="E4" s="222" t="s">
        <v>2674</v>
      </c>
      <c r="F4" s="222" t="s">
        <v>2675</v>
      </c>
      <c r="G4" s="222" t="n">
        <v>0.11</v>
      </c>
      <c r="H4" s="222" t="n">
        <v>21996</v>
      </c>
      <c r="I4" s="222" t="n">
        <v>860</v>
      </c>
      <c r="J4" s="222" t="n">
        <v>869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>
      <c r="A5" s="222" t="s">
        <v>2676</v>
      </c>
      <c r="B5" s="222" t="n">
        <v>0.11</v>
      </c>
      <c r="C5" s="222" t="s">
        <v>2677</v>
      </c>
      <c r="D5" s="222" t="n">
        <v>1534</v>
      </c>
      <c r="E5" s="222" t="s">
        <v>2678</v>
      </c>
      <c r="F5" s="222" t="s">
        <v>2679</v>
      </c>
      <c r="G5" s="222" t="n">
        <v>0.11</v>
      </c>
      <c r="H5" s="222" t="n">
        <v>2272</v>
      </c>
      <c r="I5" s="222" t="n">
        <v>1534</v>
      </c>
      <c r="J5" s="222" t="n">
        <v>1565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222" t="s">
        <v>2680</v>
      </c>
      <c r="B6" s="222" t="n">
        <v>1.53</v>
      </c>
      <c r="C6" s="222" t="s">
        <v>2681</v>
      </c>
      <c r="D6" s="222" t="n">
        <v>243</v>
      </c>
      <c r="E6" s="222" t="s">
        <v>2682</v>
      </c>
      <c r="F6" s="222" t="s">
        <v>2683</v>
      </c>
      <c r="G6" s="222" t="n">
        <v>1.53</v>
      </c>
      <c r="H6" s="222" t="n">
        <v>5.9</v>
      </c>
      <c r="I6" s="222" t="n">
        <v>243</v>
      </c>
      <c r="J6" s="222" t="n">
        <v>530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F8" s="223" t="s">
        <v>2684</v>
      </c>
      <c r="G8" s="223" t="s">
        <v>2685</v>
      </c>
    </row>
    <row r="9"/>
    <row r="10">
      <c r="C10" s="224" t="n">
        <v>1659</v>
      </c>
      <c r="D10" s="225" t="n">
        <v>1900</v>
      </c>
      <c r="E10" s="225" t="n">
        <v>5718</v>
      </c>
      <c r="F10" s="3" t="n">
        <f>SUM(C10:E10)</f>
        <v>9277</v>
      </c>
    </row>
    <row r="11">
      <c r="G11" s="226" t="s">
        <v>2686</v>
      </c>
      <c r="H11" s="227" t="s">
        <v>2687</v>
      </c>
      <c r="I11" s="227"/>
      <c r="J11" s="227" t="s">
        <v>2688</v>
      </c>
      <c r="K11" s="227"/>
      <c r="L11" s="228" t="n">
        <v>113.8</v>
      </c>
    </row>
    <row r="12">
      <c r="B12" s="228" t="s">
        <v>2689</v>
      </c>
      <c r="C12" s="228" t="s">
        <v>2690</v>
      </c>
      <c r="D12" s="228" t="s">
        <v>2691</v>
      </c>
      <c r="G12" s="228" t="s">
        <v>2692</v>
      </c>
      <c r="H12" s="229" t="n">
        <v>99.7</v>
      </c>
      <c r="I12" s="229" t="n">
        <v>99.7</v>
      </c>
      <c r="J12" s="228" t="n">
        <v>1828187</v>
      </c>
      <c r="K12" s="228" t="n">
        <v>1828187</v>
      </c>
      <c r="L12" s="228" t="n">
        <v>1346</v>
      </c>
    </row>
    <row r="13">
      <c r="B13" s="230" t="s">
        <v>2693</v>
      </c>
      <c r="C13" s="230" t="s">
        <v>2694</v>
      </c>
      <c r="D13" s="228" t="s">
        <v>2695</v>
      </c>
      <c r="G13" s="228" t="s">
        <v>2696</v>
      </c>
      <c r="H13" s="229" t="n">
        <v>570</v>
      </c>
      <c r="I13" s="229" t="n">
        <v>570</v>
      </c>
      <c r="J13" s="228" t="n">
        <v>1624533</v>
      </c>
      <c r="K13" s="228" t="n">
        <v>1624533</v>
      </c>
      <c r="L13" s="228" t="n">
        <v>7.4</v>
      </c>
    </row>
    <row r="14">
      <c r="B14" s="230" t="s">
        <v>2697</v>
      </c>
      <c r="C14" s="230" t="s">
        <v>2698</v>
      </c>
      <c r="D14" s="190"/>
      <c r="G14" s="231" t="s">
        <v>2699</v>
      </c>
      <c r="H14" s="232" t="n">
        <v>9.5</v>
      </c>
      <c r="I14" s="232" t="n">
        <v>42.7</v>
      </c>
      <c r="J14" s="232" t="n">
        <v>842564</v>
      </c>
      <c r="K14" s="232" t="n">
        <v>841863</v>
      </c>
      <c r="L14" s="228" t="n">
        <v>3.7</v>
      </c>
    </row>
    <row r="15">
      <c r="B15" s="230" t="s">
        <v>2700</v>
      </c>
      <c r="C15" s="230" t="s">
        <v>2701</v>
      </c>
      <c r="D15" s="190"/>
      <c r="G15" s="231" t="s">
        <v>2702</v>
      </c>
      <c r="H15" s="232" t="n">
        <v>4.1</v>
      </c>
      <c r="I15" s="232" t="n">
        <v>4.2</v>
      </c>
      <c r="J15" s="232" t="n">
        <v>66053</v>
      </c>
      <c r="K15" s="232" t="n">
        <v>65932</v>
      </c>
      <c r="L15" s="228" t="n">
        <v>5.17</v>
      </c>
    </row>
    <row r="16">
      <c r="B16" s="230" t="s">
        <v>2703</v>
      </c>
      <c r="C16" s="228" t="s">
        <v>2704</v>
      </c>
      <c r="D16" s="233" t="s">
        <v>2705</v>
      </c>
      <c r="G16" s="231" t="s">
        <v>2706</v>
      </c>
      <c r="H16" s="232" t="n">
        <v>6.47</v>
      </c>
      <c r="I16" s="232" t="n">
        <v>3.4</v>
      </c>
      <c r="J16" s="232" t="s">
        <v>2707</v>
      </c>
      <c r="K16" s="232" t="s">
        <v>2708</v>
      </c>
      <c r="L16" s="228" t="n">
        <v>0.85</v>
      </c>
    </row>
    <row r="17">
      <c r="G17" s="231" t="s">
        <v>2709</v>
      </c>
      <c r="H17" s="232" t="n">
        <v>1.75</v>
      </c>
      <c r="I17" s="232" t="n">
        <v>4.4</v>
      </c>
      <c r="J17" s="232" t="n">
        <v>51688</v>
      </c>
      <c r="K17" s="232" t="n">
        <v>49875</v>
      </c>
      <c r="L17" s="228" t="n">
        <v>1.2</v>
      </c>
    </row>
    <row r="18">
      <c r="G18" s="231" t="s">
        <v>2710</v>
      </c>
      <c r="H18" s="232" t="n">
        <v>3.2</v>
      </c>
      <c r="I18" s="232" t="n">
        <v>0.74</v>
      </c>
      <c r="J18" s="232" t="n">
        <v>7535</v>
      </c>
      <c r="K18" s="232" t="n">
        <v>7501</v>
      </c>
      <c r="L18" s="228" t="n">
        <v>4.3</v>
      </c>
    </row>
    <row r="19">
      <c r="G19" s="231" t="s">
        <v>2711</v>
      </c>
      <c r="H19" s="232" t="n">
        <v>4.1</v>
      </c>
      <c r="I19" s="232" t="n">
        <v>7.4</v>
      </c>
      <c r="J19" s="232" t="s">
        <v>2712</v>
      </c>
      <c r="K19" s="232" t="s">
        <v>2713</v>
      </c>
      <c r="L19" s="228" t="n">
        <v>205</v>
      </c>
    </row>
    <row r="20">
      <c r="G20" s="231" t="s">
        <v>2714</v>
      </c>
      <c r="H20" s="232" t="n">
        <v>296</v>
      </c>
      <c r="I20" s="232" t="n">
        <v>254</v>
      </c>
      <c r="J20" s="232" t="n">
        <v>5155</v>
      </c>
      <c r="K20" s="232" t="n">
        <v>5155</v>
      </c>
      <c r="L20" s="3" t="n">
        <f>SUM(L11:L19)</f>
        <v>1687.42</v>
      </c>
    </row>
    <row r="21">
      <c r="G21" s="232" t="s">
        <v>2715</v>
      </c>
      <c r="H21" s="232" t="n">
        <f>SUM(H12:H20)</f>
        <v>994.82</v>
      </c>
      <c r="I21" s="232" t="n">
        <v>316.8</v>
      </c>
      <c r="J21" s="232"/>
      <c r="K21" s="189"/>
    </row>
    <row r="22">
      <c r="H22" s="234">
        <f>SUM(H13:H21)</f>
      </c>
      <c r="I22" s="235" t="n">
        <v>344.6</v>
      </c>
      <c r="J22" s="235"/>
      <c r="K22" s="3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mergeCells count="6">
    <mergeCell ref="B1:C1"/>
    <mergeCell ref="D1:E1"/>
    <mergeCell ref="G1:H1"/>
    <mergeCell ref="I1:J1"/>
    <mergeCell ref="H11:I11"/>
    <mergeCell ref="J11:K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9.6" customWidth="1"/>
    <col min="2" max="2" width="36.67" customWidth="1"/>
    <col min="3" max="7" width="11.35" customWidth="1"/>
    <col min="8" max="8" width="9.6" customWidth="1"/>
    <col min="9" max="11" width="11.35" customWidth="1"/>
    <col min="12" max="13" width="10.83" customWidth="1"/>
    <col min="14" max="14" width="40.68" customWidth="1"/>
    <col min="15" max="15" width="9.6" customWidth="1"/>
    <col min="16" max="34" width="16.59" customWidth="1"/>
  </cols>
  <sheetData>
    <row r="1">
      <c r="A1" s="4"/>
      <c r="B1" s="4"/>
      <c r="C1" s="4" t="s">
        <v>2716</v>
      </c>
      <c r="D1" s="4" t="s">
        <v>2717</v>
      </c>
      <c r="E1" s="4" t="s">
        <v>2718</v>
      </c>
      <c r="F1" s="4" t="s">
        <v>2719</v>
      </c>
      <c r="G1" s="4" t="s">
        <v>2720</v>
      </c>
      <c r="H1" s="4" t="s">
        <v>2721</v>
      </c>
      <c r="I1" s="4" t="s">
        <v>2722</v>
      </c>
      <c r="J1" s="4" t="s">
        <v>2723</v>
      </c>
      <c r="K1" s="4" t="s">
        <v>2724</v>
      </c>
      <c r="L1" s="4" t="s">
        <v>2725</v>
      </c>
      <c r="M1" s="4" t="s">
        <v>2726</v>
      </c>
      <c r="N1" s="4"/>
      <c r="O1" s="4"/>
      <c r="P1" s="4"/>
      <c r="Q1" s="4"/>
      <c r="R1" s="4"/>
      <c r="S1" s="4"/>
      <c r="T1" s="4"/>
      <c r="U1" s="4"/>
      <c r="V1" s="4"/>
      <c r="W1" s="4"/>
      <c r="X1" s="236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6" t="s">
        <v>2727</v>
      </c>
      <c r="B2" s="7" t="s">
        <v>2728</v>
      </c>
      <c r="C2" s="8" t="n">
        <v>468183</v>
      </c>
      <c r="D2" s="8" t="n">
        <v>962000</v>
      </c>
      <c r="E2" s="8" t="n">
        <v>2852000</v>
      </c>
      <c r="F2" s="8" t="n">
        <v>6949000</v>
      </c>
      <c r="G2" s="8" t="n">
        <v>3231000</v>
      </c>
      <c r="H2" s="8" t="n">
        <v>3022983</v>
      </c>
      <c r="I2" s="8" t="n">
        <v>1578443</v>
      </c>
      <c r="J2" s="8" t="n">
        <v>2249208</v>
      </c>
      <c r="K2" s="8" t="n">
        <v>3612339</v>
      </c>
      <c r="L2" s="8" t="n">
        <v>292049</v>
      </c>
      <c r="M2" s="42" t="s">
        <v>2729</v>
      </c>
      <c r="N2" s="4"/>
      <c r="O2" s="4"/>
      <c r="P2" s="4"/>
      <c r="Q2" s="4"/>
      <c r="R2" s="4"/>
      <c r="S2" s="4"/>
      <c r="T2" s="4"/>
      <c r="U2" s="4"/>
      <c r="V2" s="4"/>
      <c r="W2" s="4"/>
      <c r="X2" s="236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0"/>
      <c r="B3" s="7" t="s">
        <v>2730</v>
      </c>
      <c r="C3" s="8"/>
      <c r="D3" s="8"/>
      <c r="E3" s="8"/>
      <c r="F3" s="8"/>
      <c r="G3" s="8"/>
      <c r="H3" s="8"/>
      <c r="I3" s="9"/>
      <c r="J3" s="8"/>
      <c r="K3" s="8"/>
      <c r="L3" s="8"/>
      <c r="M3" s="42"/>
      <c r="N3" s="4"/>
      <c r="O3" s="4"/>
      <c r="P3" s="4"/>
      <c r="Q3" s="4"/>
      <c r="R3" s="4"/>
      <c r="S3" s="4"/>
      <c r="T3" s="4"/>
      <c r="U3" s="4"/>
      <c r="V3" s="4"/>
      <c r="W3" s="4"/>
      <c r="X3" s="236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0"/>
      <c r="B4" s="7" t="s">
        <v>2731</v>
      </c>
      <c r="C4" s="8" t="n">
        <v>-1000</v>
      </c>
      <c r="D4" s="8" t="n">
        <v>823</v>
      </c>
      <c r="E4" s="8" t="n">
        <v>7481</v>
      </c>
      <c r="F4" s="8" t="n">
        <v>8000</v>
      </c>
      <c r="G4" s="8" t="n">
        <v>4000</v>
      </c>
      <c r="H4" s="8" t="n">
        <v>10285</v>
      </c>
      <c r="I4" s="8" t="n">
        <v>7857</v>
      </c>
      <c r="J4" s="8" t="n">
        <v>2806</v>
      </c>
      <c r="K4" s="8" t="n">
        <v>2559</v>
      </c>
      <c r="L4" s="8" t="n">
        <v>537</v>
      </c>
      <c r="M4" s="42" t="s">
        <v>2732</v>
      </c>
      <c r="N4" s="4"/>
      <c r="O4" s="4"/>
      <c r="P4" s="4"/>
      <c r="Q4" s="4"/>
      <c r="R4" s="4"/>
      <c r="S4" s="4"/>
      <c r="T4" s="4"/>
      <c r="U4" s="4"/>
      <c r="V4" s="4"/>
      <c r="W4" s="4"/>
      <c r="X4" s="236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0" t="s">
        <v>2733</v>
      </c>
      <c r="B5" s="7" t="s">
        <v>2734</v>
      </c>
      <c r="C5" s="8" t="n">
        <v>500834</v>
      </c>
      <c r="D5" s="8" t="n">
        <v>1760000</v>
      </c>
      <c r="E5" s="8" t="n">
        <v>2246000</v>
      </c>
      <c r="F5" s="8" t="n">
        <v>17864000</v>
      </c>
      <c r="G5" s="8" t="n">
        <v>4607000</v>
      </c>
      <c r="H5" s="8" t="n">
        <v>3106036</v>
      </c>
      <c r="I5" s="8" t="n">
        <v>2424911</v>
      </c>
      <c r="J5" s="8" t="n">
        <v>2334875</v>
      </c>
      <c r="K5" s="8" t="n">
        <v>2233995</v>
      </c>
      <c r="L5" s="8" t="n">
        <v>188490</v>
      </c>
      <c r="M5" s="42" t="s">
        <v>2735</v>
      </c>
      <c r="N5" s="4"/>
      <c r="O5" s="4"/>
      <c r="P5" s="4"/>
      <c r="Q5" s="4"/>
      <c r="R5" s="4"/>
      <c r="S5" s="4"/>
      <c r="T5" s="4"/>
      <c r="U5" s="4"/>
      <c r="V5" s="4"/>
      <c r="W5" s="4"/>
      <c r="X5" s="236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10"/>
      <c r="B6" s="7" t="s">
        <v>2736</v>
      </c>
      <c r="C6" s="8"/>
      <c r="D6" s="8"/>
      <c r="E6" s="8"/>
      <c r="F6" s="8"/>
      <c r="G6" s="8"/>
      <c r="H6" s="8"/>
      <c r="I6" s="9"/>
      <c r="J6" s="8"/>
      <c r="K6" s="8"/>
      <c r="L6" s="8"/>
      <c r="M6" s="42"/>
      <c r="N6" s="4"/>
      <c r="O6" s="4"/>
      <c r="P6" s="4"/>
      <c r="Q6" s="4"/>
      <c r="R6" s="4"/>
      <c r="S6" s="4"/>
      <c r="T6" s="4"/>
      <c r="U6" s="4"/>
      <c r="V6" s="4"/>
      <c r="W6" s="4"/>
      <c r="X6" s="236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10"/>
      <c r="B7" s="7" t="s">
        <v>2737</v>
      </c>
      <c r="C7" s="8" t="n">
        <v>-1805</v>
      </c>
      <c r="D7" s="8" t="n">
        <v>2826</v>
      </c>
      <c r="E7" s="8" t="n">
        <v>2424</v>
      </c>
      <c r="F7" s="8" t="n">
        <v>66000</v>
      </c>
      <c r="G7" s="8" t="n">
        <v>26000</v>
      </c>
      <c r="H7" s="8" t="n">
        <v>42000</v>
      </c>
      <c r="I7" s="8" t="n">
        <v>19817</v>
      </c>
      <c r="J7" s="8" t="n">
        <v>12762</v>
      </c>
      <c r="K7" s="8" t="n">
        <v>3511</v>
      </c>
      <c r="L7" s="8" t="n">
        <v>391</v>
      </c>
      <c r="M7" s="42" t="s">
        <v>2738</v>
      </c>
      <c r="N7" s="4"/>
      <c r="O7" s="4"/>
      <c r="P7" s="4"/>
      <c r="Q7" s="4"/>
      <c r="R7" s="4"/>
      <c r="S7" s="4"/>
      <c r="T7" s="4"/>
      <c r="U7" s="4"/>
      <c r="V7" s="4"/>
      <c r="W7" s="4"/>
      <c r="X7" s="236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6" t="s">
        <v>2739</v>
      </c>
      <c r="B8" s="7" t="s">
        <v>2740</v>
      </c>
      <c r="C8" s="8" t="n">
        <v>487120</v>
      </c>
      <c r="D8" s="8" t="n">
        <v>1839490</v>
      </c>
      <c r="E8" s="8" t="n">
        <v>4057868</v>
      </c>
      <c r="F8" s="8" t="n">
        <v>7756211</v>
      </c>
      <c r="G8" s="8" t="n">
        <v>3033751</v>
      </c>
      <c r="H8" s="8" t="n">
        <v>4148065</v>
      </c>
      <c r="I8" s="8" t="n">
        <v>2194674</v>
      </c>
      <c r="J8" s="8" t="n">
        <v>2615867</v>
      </c>
      <c r="K8" s="8" t="n">
        <v>6406168</v>
      </c>
      <c r="L8" s="8" t="n">
        <v>269247</v>
      </c>
      <c r="M8" s="42" t="s">
        <v>2741</v>
      </c>
      <c r="N8" s="4"/>
      <c r="O8" s="4"/>
      <c r="P8" s="4"/>
      <c r="Q8" s="4"/>
      <c r="R8" s="4"/>
      <c r="S8" s="4"/>
      <c r="T8" s="4"/>
      <c r="U8" s="4"/>
      <c r="V8" s="4"/>
      <c r="W8" s="4"/>
      <c r="X8" s="236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10"/>
      <c r="B9" s="7" t="s">
        <v>2742</v>
      </c>
      <c r="C9" s="8" t="n">
        <v>561</v>
      </c>
      <c r="D9" s="8" t="n">
        <v>48355</v>
      </c>
      <c r="E9" s="8" t="n">
        <v>140311</v>
      </c>
      <c r="F9" s="8" t="n">
        <v>124740</v>
      </c>
      <c r="G9" s="8" t="n">
        <v>75662</v>
      </c>
      <c r="H9" s="8" t="n">
        <v>326795</v>
      </c>
      <c r="I9" s="8" t="n">
        <v>30499</v>
      </c>
      <c r="J9" s="8" t="n">
        <v>70768</v>
      </c>
      <c r="K9" s="8" t="n">
        <v>36635</v>
      </c>
      <c r="L9" s="8" t="n">
        <v>1596</v>
      </c>
      <c r="M9" s="42" t="s">
        <v>2743</v>
      </c>
      <c r="N9" s="4"/>
      <c r="O9" s="4"/>
      <c r="P9" s="4"/>
      <c r="Q9" s="4"/>
      <c r="R9" s="4"/>
      <c r="S9" s="4"/>
      <c r="T9" s="4"/>
      <c r="U9" s="4"/>
      <c r="V9" s="4"/>
      <c r="W9" s="4"/>
      <c r="X9" s="236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10"/>
      <c r="B10" s="11" t="s">
        <v>2744</v>
      </c>
      <c r="C10" s="8" t="n">
        <v>-1394</v>
      </c>
      <c r="D10" s="8" t="n">
        <v>10876</v>
      </c>
      <c r="E10" s="8" t="n">
        <v>28699</v>
      </c>
      <c r="F10" s="8" t="n">
        <v>42655</v>
      </c>
      <c r="G10" s="8" t="n">
        <v>16000</v>
      </c>
      <c r="H10" s="8" t="n">
        <v>46752</v>
      </c>
      <c r="I10" s="8" t="n">
        <v>14602</v>
      </c>
      <c r="J10" s="8" t="n">
        <v>15033</v>
      </c>
      <c r="K10" s="8" t="n">
        <v>3932</v>
      </c>
      <c r="L10" s="8" t="n">
        <v>585</v>
      </c>
      <c r="M10" s="42" t="s">
        <v>2745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236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10" t="s">
        <v>2746</v>
      </c>
      <c r="B11" s="7" t="s">
        <v>2747</v>
      </c>
      <c r="C11" s="8" t="n">
        <v>234341</v>
      </c>
      <c r="D11" s="8" t="n">
        <v>1703989</v>
      </c>
      <c r="E11" s="8" t="n">
        <v>2970000</v>
      </c>
      <c r="F11" s="8" t="n">
        <v>3517053.4</v>
      </c>
      <c r="G11" s="8" t="n">
        <v>2344017</v>
      </c>
      <c r="H11" s="8" t="n">
        <v>1786726</v>
      </c>
      <c r="I11" s="8" t="n">
        <v>1274291</v>
      </c>
      <c r="J11" s="8" t="n">
        <v>1459494</v>
      </c>
      <c r="K11" s="8" t="n">
        <v>3352092</v>
      </c>
      <c r="L11" s="8" t="n">
        <v>134169</v>
      </c>
      <c r="M11" s="42" t="s">
        <v>2748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236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10"/>
      <c r="B12" s="7" t="s">
        <v>2749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42" t="s">
        <v>2750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236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10"/>
      <c r="B13" s="11" t="s">
        <v>2751</v>
      </c>
      <c r="C13" s="8" t="n">
        <v>-513</v>
      </c>
      <c r="D13" s="8" t="n">
        <v>5509</v>
      </c>
      <c r="E13" s="8" t="n">
        <v>9682</v>
      </c>
      <c r="F13" s="8" t="n">
        <v>8738</v>
      </c>
      <c r="G13" s="8" t="n">
        <v>10000</v>
      </c>
      <c r="H13" s="8" t="n">
        <v>16653</v>
      </c>
      <c r="I13" s="8" t="n">
        <v>-958034</v>
      </c>
      <c r="J13" s="8" t="n">
        <v>4430</v>
      </c>
      <c r="K13" s="8" t="n">
        <v>2075</v>
      </c>
      <c r="L13" s="8" t="n">
        <v>484</v>
      </c>
      <c r="M13" s="42" t="s">
        <v>2752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236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>
      <c r="A14" s="16"/>
      <c r="B14" s="22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237"/>
      <c r="Y14" s="12"/>
      <c r="Z14" s="12"/>
      <c r="AA14" s="12"/>
      <c r="AB14" s="12"/>
      <c r="AC14" s="12"/>
      <c r="AD14" s="12"/>
      <c r="AE14" s="12"/>
      <c r="AF14" s="12"/>
      <c r="AG14" s="12"/>
      <c r="AH14" s="12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16"/>
      <c r="B16" s="22"/>
      <c r="C16" s="16" t="s">
        <v>2753</v>
      </c>
      <c r="D16" s="16" t="s">
        <v>2754</v>
      </c>
      <c r="E16" s="16" t="s">
        <v>2755</v>
      </c>
      <c r="F16" s="16" t="s">
        <v>2756</v>
      </c>
      <c r="G16" s="16" t="s">
        <v>2757</v>
      </c>
      <c r="H16" s="16" t="s">
        <v>2758</v>
      </c>
      <c r="I16" s="16" t="s">
        <v>2759</v>
      </c>
      <c r="J16" s="16" t="s">
        <v>2760</v>
      </c>
      <c r="K16" s="16" t="s">
        <v>2761</v>
      </c>
      <c r="L16" s="16" t="s">
        <v>2762</v>
      </c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237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0" t="s">
        <v>2763</v>
      </c>
      <c r="B17" s="7" t="s">
        <v>2764</v>
      </c>
      <c r="C17" s="238" t="n">
        <v>0</v>
      </c>
      <c r="D17" s="239" t="n">
        <v>422326</v>
      </c>
      <c r="E17" s="239" t="n">
        <v>828000</v>
      </c>
      <c r="F17" s="239" t="n">
        <v>504656.46</v>
      </c>
      <c r="G17" s="239" t="n">
        <v>551897.9</v>
      </c>
      <c r="H17" s="239" t="n">
        <v>333595</v>
      </c>
      <c r="I17" s="239" t="n">
        <v>210602</v>
      </c>
      <c r="J17" s="239" t="n">
        <v>528070</v>
      </c>
      <c r="K17" s="239" t="n">
        <v>404297</v>
      </c>
      <c r="L17" s="239" t="n">
        <v>0</v>
      </c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237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0"/>
      <c r="B18" s="7" t="s">
        <v>2765</v>
      </c>
      <c r="C18" s="239"/>
      <c r="D18" s="239"/>
      <c r="E18" s="239"/>
      <c r="F18" s="239"/>
      <c r="G18" s="239"/>
      <c r="H18" s="239"/>
      <c r="I18" s="239"/>
      <c r="J18" s="239"/>
      <c r="K18" s="239"/>
      <c r="L18" s="239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237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0"/>
      <c r="B19" s="11" t="s">
        <v>2766</v>
      </c>
      <c r="C19" s="238" t="n">
        <v>-1618027</v>
      </c>
      <c r="D19" s="239" t="n">
        <v>4858</v>
      </c>
      <c r="E19" s="239" t="n">
        <v>4786</v>
      </c>
      <c r="F19" s="239" t="n">
        <v>4400</v>
      </c>
      <c r="G19" s="239" t="n">
        <v>-159982.7</v>
      </c>
      <c r="H19" s="239" t="n">
        <v>16813</v>
      </c>
      <c r="I19" s="239" t="n">
        <v>15231</v>
      </c>
      <c r="J19" s="239" t="n">
        <v>12195</v>
      </c>
      <c r="K19" s="239" t="n">
        <v>1951</v>
      </c>
      <c r="L19" s="239" t="n">
        <v>-86519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237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t="25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25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25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189"/>
      <c r="AF26" s="189"/>
      <c r="AG26" s="189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189"/>
      <c r="AF27" s="189"/>
      <c r="AG27" s="189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189"/>
      <c r="AF28" s="189"/>
      <c r="AG28" s="189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189"/>
      <c r="AF29" s="189"/>
      <c r="AG29" s="189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189"/>
      <c r="AF30" s="189"/>
      <c r="AG30" s="189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189"/>
      <c r="AF31" s="189"/>
      <c r="AG31" s="189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189"/>
      <c r="AF32" s="189"/>
      <c r="AG32" s="189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189"/>
      <c r="AF33" s="189"/>
      <c r="AG33" s="189"/>
    </row>
    <row r="34">
      <c r="A34" s="189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189"/>
      <c r="AG35" s="189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189"/>
      <c r="AG36" s="189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189"/>
      <c r="AG37" s="189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189"/>
      <c r="AG38" s="189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189"/>
      <c r="AG39" s="189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189"/>
      <c r="AG40" s="189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189"/>
      <c r="AG41" s="189"/>
    </row>
    <row r="42">
      <c r="A42" s="189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</row>
    <row r="43">
      <c r="A43" s="189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189"/>
    </row>
    <row r="45" ht="21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189"/>
    </row>
    <row r="46" ht="25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189"/>
    </row>
    <row r="47" ht="25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189"/>
    </row>
    <row r="48" ht="25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189"/>
    </row>
    <row r="49" ht="25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189"/>
    </row>
    <row r="50" ht="25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189"/>
    </row>
    <row r="51">
      <c r="A51" s="189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</row>
    <row r="52">
      <c r="A52" s="189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</row>
    <row r="53">
      <c r="A53" s="189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21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25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25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25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25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25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189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</row>
    <row r="62">
      <c r="A62" s="189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</row>
    <row r="63">
      <c r="A63" s="189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21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25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25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25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25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25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>
      <c r="A71" s="189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M71" s="3"/>
    </row>
    <row r="72">
      <c r="A72" s="189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M72" s="3"/>
    </row>
    <row r="73">
      <c r="A73" s="189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M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M74" s="3"/>
    </row>
    <row r="75" ht="21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M75" s="3"/>
    </row>
    <row r="76" ht="25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M76" s="3"/>
    </row>
    <row r="77" ht="25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M77" s="3"/>
    </row>
    <row r="78" ht="25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M78" s="3"/>
    </row>
    <row r="79" ht="25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M79" s="3"/>
    </row>
    <row r="80" ht="25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M80" s="3"/>
    </row>
    <row r="81" ht="25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M81" s="3"/>
    </row>
    <row r="82" ht="25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M82" s="3"/>
    </row>
    <row r="83" ht="25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M83" s="3"/>
    </row>
    <row r="84">
      <c r="A84" s="3"/>
      <c r="B84" s="3"/>
      <c r="C84" s="3"/>
      <c r="D84" s="3"/>
      <c r="E84" s="3"/>
      <c r="F84" s="3"/>
      <c r="K84" s="3"/>
      <c r="M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>
      <c r="A92" s="3"/>
      <c r="B92" s="3"/>
      <c r="C92" s="3"/>
      <c r="D92" s="3"/>
      <c r="E92" s="3"/>
      <c r="F92" s="3"/>
      <c r="G92" s="3"/>
      <c r="M92" s="3"/>
    </row>
    <row r="93">
      <c r="A93" s="3"/>
      <c r="B93" s="3"/>
      <c r="C93" s="3"/>
      <c r="D93" s="3"/>
      <c r="E93" s="3"/>
      <c r="F93" s="3"/>
      <c r="G93" s="3"/>
      <c r="M93" s="3"/>
    </row>
    <row r="94">
      <c r="A94" s="3"/>
      <c r="B94" s="3"/>
      <c r="C94" s="3"/>
      <c r="D94" s="3"/>
      <c r="E94" s="3"/>
      <c r="F94" s="3"/>
      <c r="M94" s="3"/>
    </row>
    <row r="95">
      <c r="A95" s="3"/>
      <c r="B95" s="3"/>
      <c r="C95" s="3"/>
      <c r="D95" s="3"/>
      <c r="E95" s="3"/>
      <c r="F95" s="3"/>
      <c r="M95" s="3"/>
    </row>
    <row r="96">
      <c r="A96" s="3"/>
      <c r="B96" s="3"/>
      <c r="C96" s="3"/>
      <c r="D96" s="3"/>
      <c r="E96" s="3"/>
      <c r="F96" s="3"/>
      <c r="M96" s="3"/>
    </row>
    <row r="97">
      <c r="A97" s="3"/>
      <c r="B97" s="3"/>
      <c r="C97" s="3"/>
      <c r="D97" s="3"/>
      <c r="E97" s="3"/>
      <c r="F97" s="3"/>
      <c r="M97" s="3"/>
    </row>
    <row r="98">
      <c r="A98" s="3"/>
      <c r="B98" s="3"/>
      <c r="C98" s="3"/>
      <c r="D98" s="3"/>
      <c r="E98" s="3"/>
      <c r="F98" s="3"/>
      <c r="M98" s="3"/>
    </row>
    <row r="99">
      <c r="A99" s="3"/>
      <c r="B99" s="3"/>
      <c r="C99" s="3"/>
      <c r="D99" s="3"/>
      <c r="E99" s="3"/>
      <c r="F99" s="3"/>
      <c r="M99" s="3"/>
    </row>
    <row r="100">
      <c r="A100" s="3"/>
      <c r="B100" s="3"/>
      <c r="C100" s="3"/>
      <c r="D100" s="3"/>
      <c r="E100" s="3"/>
      <c r="F100" s="3"/>
      <c r="M100" s="3"/>
    </row>
    <row r="101">
      <c r="A101" s="3"/>
      <c r="B101" s="3"/>
      <c r="C101" s="3"/>
      <c r="D101" s="3"/>
      <c r="E101" s="3"/>
      <c r="F101" s="3"/>
      <c r="M101" s="3"/>
    </row>
    <row r="102">
      <c r="A102" s="3"/>
      <c r="B102" s="3"/>
      <c r="C102" s="3"/>
      <c r="D102" s="3"/>
      <c r="E102" s="3"/>
      <c r="F102" s="3"/>
      <c r="M102" s="3"/>
    </row>
    <row r="103">
      <c r="A103" s="3"/>
      <c r="B103" s="3"/>
      <c r="C103" s="3"/>
      <c r="D103" s="3"/>
      <c r="E103" s="3"/>
      <c r="F103" s="3"/>
      <c r="M103" s="3"/>
    </row>
    <row r="104">
      <c r="A104" s="3"/>
      <c r="B104" s="3"/>
      <c r="C104" s="3"/>
      <c r="D104" s="3"/>
      <c r="E104" s="3"/>
      <c r="F104" s="3"/>
      <c r="M104" s="3"/>
    </row>
    <row r="105">
      <c r="A105" s="3"/>
      <c r="B105" s="3"/>
      <c r="C105" s="3"/>
      <c r="D105" s="3"/>
      <c r="E105" s="3"/>
      <c r="F105" s="3"/>
      <c r="M105" s="3"/>
    </row>
    <row r="106">
      <c r="A106" s="3"/>
      <c r="B106" s="3"/>
      <c r="C106" s="3"/>
      <c r="D106" s="3"/>
      <c r="E106" s="3"/>
      <c r="F106" s="3"/>
      <c r="M106" s="3"/>
    </row>
    <row r="107">
      <c r="A107" s="3"/>
      <c r="B107" s="3"/>
      <c r="C107" s="3"/>
      <c r="D107" s="3"/>
      <c r="E107" s="3"/>
      <c r="F107" s="3"/>
      <c r="M107" s="3"/>
    </row>
    <row r="108">
      <c r="A108" s="3"/>
      <c r="B108" s="3"/>
      <c r="C108" s="3"/>
      <c r="D108" s="3"/>
      <c r="E108" s="3"/>
      <c r="F108" s="3"/>
      <c r="M108" s="3"/>
    </row>
    <row r="109">
      <c r="A109" s="3"/>
      <c r="B109" s="3"/>
      <c r="C109" s="3"/>
      <c r="D109" s="3"/>
      <c r="E109" s="3"/>
      <c r="F109" s="3"/>
      <c r="M109" s="3"/>
    </row>
    <row r="110">
      <c r="A110" s="3"/>
      <c r="B110" s="3"/>
      <c r="C110" s="3"/>
      <c r="D110" s="3"/>
      <c r="E110" s="3"/>
      <c r="F110" s="3"/>
      <c r="M110" s="3"/>
    </row>
    <row r="111">
      <c r="A111" s="3"/>
      <c r="B111" s="3"/>
      <c r="C111" s="3"/>
      <c r="D111" s="3"/>
      <c r="E111" s="3"/>
      <c r="F111" s="3"/>
      <c r="M111" s="3"/>
    </row>
    <row r="112">
      <c r="A112" s="3"/>
      <c r="B112" s="3"/>
      <c r="C112" s="3"/>
      <c r="D112" s="3"/>
      <c r="E112" s="3"/>
      <c r="F112" s="3"/>
      <c r="M112" s="3"/>
    </row>
    <row r="113">
      <c r="A113" s="3"/>
      <c r="B113" s="3"/>
      <c r="C113" s="3"/>
      <c r="D113" s="3"/>
      <c r="E113" s="3"/>
      <c r="F113" s="3"/>
      <c r="M113" s="3"/>
    </row>
    <row r="114">
      <c r="A114" s="3"/>
      <c r="B114" s="3"/>
      <c r="C114" s="3"/>
      <c r="D114" s="3"/>
      <c r="E114" s="3"/>
      <c r="F114" s="3"/>
      <c r="M114" s="3"/>
    </row>
    <row r="115">
      <c r="A115" s="3"/>
      <c r="B115" s="3"/>
      <c r="C115" s="3"/>
      <c r="D115" s="3"/>
      <c r="E115" s="3"/>
      <c r="F115" s="3"/>
      <c r="M115" s="3"/>
    </row>
    <row r="116">
      <c r="A116" s="3"/>
      <c r="B116" s="3"/>
      <c r="C116" s="3"/>
      <c r="D116" s="3"/>
      <c r="E116" s="3"/>
      <c r="F116" s="3"/>
      <c r="M116" s="3"/>
    </row>
    <row r="117">
      <c r="A117" s="3"/>
      <c r="B117" s="3"/>
      <c r="C117" s="3"/>
      <c r="D117" s="3"/>
      <c r="E117" s="3"/>
      <c r="F117" s="3"/>
      <c r="M117" s="3"/>
    </row>
    <row r="118">
      <c r="A118" s="3"/>
      <c r="B118" s="3"/>
      <c r="C118" s="3"/>
      <c r="D118" s="3"/>
      <c r="E118" s="3"/>
      <c r="F118" s="3"/>
      <c r="M118" s="3"/>
    </row>
    <row r="119">
      <c r="A119" s="3"/>
      <c r="B119" s="3"/>
      <c r="C119" s="3"/>
      <c r="D119" s="3"/>
      <c r="E119" s="3"/>
      <c r="F119" s="3"/>
      <c r="M119" s="3"/>
    </row>
    <row r="120">
      <c r="A120" s="3"/>
      <c r="B120" s="3"/>
      <c r="C120" s="3"/>
      <c r="D120" s="3"/>
      <c r="E120" s="3"/>
      <c r="F120" s="3"/>
      <c r="M120" s="3"/>
    </row>
    <row r="121">
      <c r="A121" s="3"/>
      <c r="B121" s="3"/>
      <c r="C121" s="3"/>
      <c r="D121" s="3"/>
      <c r="E121" s="3"/>
      <c r="F121" s="3"/>
      <c r="M121" s="3"/>
    </row>
    <row r="122">
      <c r="A122" s="3"/>
      <c r="B122" s="3"/>
      <c r="C122" s="3"/>
      <c r="D122" s="3"/>
      <c r="E122" s="3"/>
      <c r="F122" s="3"/>
      <c r="M122" s="3"/>
    </row>
    <row r="123">
      <c r="A123" s="3"/>
      <c r="B123" s="3"/>
      <c r="C123" s="3"/>
      <c r="D123" s="3"/>
      <c r="E123" s="3"/>
      <c r="F123" s="3"/>
      <c r="M123" s="3"/>
    </row>
    <row r="124">
      <c r="A124" s="3"/>
      <c r="B124" s="3"/>
      <c r="C124" s="3"/>
      <c r="D124" s="3"/>
      <c r="E124" s="3"/>
      <c r="F124" s="3"/>
      <c r="M124" s="3"/>
    </row>
    <row r="125">
      <c r="A125" s="3"/>
      <c r="B125" s="3"/>
      <c r="C125" s="3"/>
      <c r="D125" s="3"/>
      <c r="E125" s="3"/>
      <c r="F125" s="3"/>
      <c r="M125" s="3"/>
    </row>
    <row r="126">
      <c r="A126" s="3"/>
      <c r="B126" s="3"/>
      <c r="C126" s="3"/>
      <c r="D126" s="3"/>
      <c r="E126" s="3"/>
      <c r="F126" s="3"/>
      <c r="M126" s="3"/>
    </row>
    <row r="127">
      <c r="A127" s="3"/>
      <c r="B127" s="3"/>
      <c r="C127" s="3"/>
      <c r="D127" s="3"/>
      <c r="E127" s="3"/>
      <c r="F127" s="3"/>
      <c r="M127" s="3"/>
    </row>
    <row r="128">
      <c r="A128" s="3"/>
      <c r="B128" s="3"/>
      <c r="C128" s="3"/>
      <c r="D128" s="3"/>
      <c r="E128" s="3"/>
      <c r="F128" s="3"/>
      <c r="M128" s="3"/>
    </row>
    <row r="129">
      <c r="A129" s="3"/>
      <c r="B129" s="3"/>
      <c r="C129" s="3"/>
      <c r="D129" s="3"/>
      <c r="E129" s="3"/>
      <c r="F129" s="3"/>
      <c r="M129" s="3"/>
    </row>
    <row r="130">
      <c r="A130" s="3"/>
      <c r="B130" s="3"/>
      <c r="C130" s="3"/>
      <c r="D130" s="3"/>
      <c r="E130" s="3"/>
      <c r="F130" s="3"/>
      <c r="M130" s="3"/>
    </row>
    <row r="131">
      <c r="A131" s="3"/>
      <c r="B131" s="3"/>
      <c r="C131" s="3"/>
      <c r="D131" s="3"/>
      <c r="E131" s="3"/>
      <c r="F131" s="3"/>
      <c r="M131" s="3"/>
    </row>
    <row r="132">
      <c r="A132" s="3"/>
      <c r="B132" s="3"/>
      <c r="C132" s="3"/>
      <c r="D132" s="3"/>
      <c r="E132" s="3"/>
      <c r="F132" s="3"/>
      <c r="M132" s="3"/>
    </row>
    <row r="133">
      <c r="A133" s="3"/>
      <c r="B133" s="3"/>
      <c r="C133" s="3"/>
      <c r="D133" s="3"/>
      <c r="E133" s="3"/>
      <c r="F133" s="3"/>
      <c r="M133" s="3"/>
    </row>
    <row r="134">
      <c r="A134" s="3"/>
      <c r="B134" s="3"/>
      <c r="C134" s="3"/>
      <c r="D134" s="3"/>
      <c r="E134" s="3"/>
      <c r="F134" s="3"/>
      <c r="M134" s="3"/>
    </row>
    <row r="135">
      <c r="A135" s="3"/>
      <c r="B135" s="3"/>
      <c r="C135" s="3"/>
      <c r="D135" s="3"/>
      <c r="E135" s="3"/>
      <c r="F135" s="3"/>
      <c r="M135" s="3"/>
    </row>
    <row r="136">
      <c r="A136" s="3"/>
      <c r="B136" s="3"/>
      <c r="C136" s="3"/>
      <c r="D136" s="3"/>
      <c r="E136" s="3"/>
      <c r="F136" s="3"/>
      <c r="M136" s="3"/>
    </row>
    <row r="137">
      <c r="A137" s="3"/>
      <c r="B137" s="3"/>
      <c r="C137" s="3"/>
      <c r="D137" s="3"/>
      <c r="E137" s="3"/>
      <c r="F137" s="3"/>
      <c r="M137" s="3"/>
    </row>
    <row r="138">
      <c r="A138" s="3"/>
      <c r="B138" s="3"/>
      <c r="C138" s="3"/>
      <c r="D138" s="3"/>
      <c r="E138" s="3"/>
      <c r="F138" s="3"/>
      <c r="M138" s="3"/>
    </row>
    <row r="139">
      <c r="A139" s="3"/>
      <c r="B139" s="3"/>
      <c r="C139" s="3"/>
      <c r="D139" s="3"/>
      <c r="E139" s="3"/>
      <c r="F139" s="3"/>
      <c r="M139" s="3"/>
    </row>
    <row r="140">
      <c r="A140" s="3"/>
      <c r="B140" s="3"/>
      <c r="C140" s="3"/>
      <c r="D140" s="3"/>
      <c r="E140" s="3"/>
      <c r="F140" s="3"/>
      <c r="M140" s="3"/>
    </row>
    <row r="141">
      <c r="A141" s="3"/>
      <c r="B141" s="3"/>
      <c r="C141" s="3"/>
      <c r="D141" s="3"/>
      <c r="E141" s="3"/>
      <c r="F141" s="3"/>
      <c r="M141" s="3"/>
    </row>
    <row r="142">
      <c r="A142" s="3"/>
      <c r="B142" s="3"/>
      <c r="C142" s="3"/>
      <c r="D142" s="3"/>
      <c r="E142" s="3"/>
      <c r="F142" s="3"/>
      <c r="M142" s="3"/>
    </row>
    <row r="143">
      <c r="A143" s="3"/>
      <c r="B143" s="3"/>
      <c r="C143" s="3"/>
      <c r="D143" s="3"/>
      <c r="E143" s="3"/>
      <c r="F143" s="3"/>
      <c r="M143" s="3"/>
    </row>
    <row r="144">
      <c r="A144" s="3"/>
      <c r="B144" s="3"/>
      <c r="C144" s="3"/>
      <c r="D144" s="3"/>
      <c r="E144" s="3"/>
      <c r="F144" s="3"/>
      <c r="M144" s="3"/>
    </row>
    <row r="145">
      <c r="A145" s="3"/>
      <c r="B145" s="3"/>
      <c r="C145" s="3"/>
      <c r="D145" s="3"/>
      <c r="E145" s="3"/>
      <c r="F145" s="3"/>
      <c r="M145" s="3"/>
    </row>
    <row r="146">
      <c r="A146" s="3"/>
      <c r="B146" s="3"/>
      <c r="C146" s="3"/>
      <c r="D146" s="3"/>
      <c r="E146" s="3"/>
      <c r="F146" s="3"/>
      <c r="M146" s="3"/>
    </row>
    <row r="147">
      <c r="A147" s="3"/>
      <c r="B147" s="3"/>
      <c r="C147" s="3"/>
      <c r="D147" s="3"/>
      <c r="E147" s="3"/>
      <c r="F147" s="3"/>
      <c r="M147" s="3"/>
    </row>
    <row r="148">
      <c r="A148" s="3"/>
      <c r="B148" s="3"/>
      <c r="C148" s="3"/>
      <c r="D148" s="3"/>
      <c r="E148" s="3"/>
      <c r="F148" s="3"/>
      <c r="M148" s="3"/>
    </row>
    <row r="149">
      <c r="A149" s="3"/>
      <c r="B149" s="3"/>
      <c r="C149" s="3"/>
      <c r="D149" s="3"/>
      <c r="E149" s="3"/>
      <c r="F149" s="3"/>
      <c r="M149" s="3"/>
    </row>
    <row r="150">
      <c r="A150" s="3"/>
      <c r="B150" s="3"/>
      <c r="C150" s="3"/>
      <c r="D150" s="3"/>
      <c r="E150" s="3"/>
      <c r="F150" s="3"/>
      <c r="M150" s="3"/>
    </row>
    <row r="151">
      <c r="A151" s="3"/>
      <c r="B151" s="3"/>
      <c r="C151" s="3"/>
      <c r="D151" s="3"/>
      <c r="E151" s="3"/>
      <c r="F151" s="3"/>
      <c r="M151" s="3"/>
    </row>
    <row r="152">
      <c r="A152" s="3"/>
      <c r="B152" s="3"/>
      <c r="C152" s="3"/>
      <c r="D152" s="3"/>
      <c r="E152" s="3"/>
      <c r="F152" s="3"/>
      <c r="M152" s="3"/>
    </row>
    <row r="153">
      <c r="A153" s="3"/>
      <c r="B153" s="3"/>
      <c r="C153" s="3"/>
      <c r="D153" s="3"/>
      <c r="E153" s="3"/>
      <c r="F153" s="3"/>
      <c r="M153" s="3"/>
    </row>
    <row r="154">
      <c r="A154" s="3"/>
      <c r="B154" s="3"/>
      <c r="C154" s="3"/>
      <c r="D154" s="3"/>
      <c r="E154" s="3"/>
      <c r="F154" s="3"/>
      <c r="M154" s="3"/>
    </row>
    <row r="155">
      <c r="A155" s="3"/>
      <c r="B155" s="3"/>
      <c r="C155" s="3"/>
      <c r="D155" s="3"/>
      <c r="E155" s="3"/>
      <c r="F155" s="3"/>
      <c r="M155" s="3"/>
    </row>
    <row r="156">
      <c r="A156" s="3"/>
      <c r="B156" s="3"/>
      <c r="C156" s="3"/>
      <c r="D156" s="3"/>
      <c r="E156" s="3"/>
      <c r="F156" s="3"/>
      <c r="M156" s="3"/>
    </row>
    <row r="157">
      <c r="A157" s="3"/>
      <c r="B157" s="3"/>
      <c r="C157" s="3"/>
      <c r="D157" s="3"/>
      <c r="E157" s="3"/>
      <c r="F157" s="3"/>
      <c r="M157" s="3"/>
    </row>
    <row r="158">
      <c r="A158" s="3"/>
      <c r="B158" s="3"/>
      <c r="C158" s="3"/>
      <c r="D158" s="3"/>
      <c r="E158" s="3"/>
      <c r="F158" s="3"/>
      <c r="M158" s="3"/>
    </row>
    <row r="159">
      <c r="A159" s="3"/>
      <c r="B159" s="3"/>
      <c r="C159" s="3"/>
      <c r="D159" s="3"/>
      <c r="E159" s="3"/>
      <c r="F159" s="3"/>
      <c r="M159" s="3"/>
    </row>
    <row r="160">
      <c r="A160" s="3"/>
      <c r="B160" s="3"/>
      <c r="C160" s="3"/>
      <c r="D160" s="3"/>
      <c r="E160" s="3"/>
      <c r="F160" s="3"/>
      <c r="M160" s="3"/>
    </row>
    <row r="161">
      <c r="A161" s="3"/>
      <c r="B161" s="3"/>
      <c r="C161" s="3"/>
      <c r="D161" s="3"/>
      <c r="E161" s="3"/>
      <c r="F161" s="3"/>
      <c r="M161" s="3"/>
    </row>
    <row r="162">
      <c r="A162" s="3"/>
      <c r="B162" s="3"/>
      <c r="C162" s="3"/>
      <c r="D162" s="3"/>
      <c r="E162" s="3"/>
      <c r="F162" s="3"/>
      <c r="M162" s="3"/>
    </row>
    <row r="163">
      <c r="A163" s="3"/>
      <c r="B163" s="3"/>
      <c r="C163" s="3"/>
      <c r="D163" s="3"/>
      <c r="E163" s="3"/>
      <c r="F163" s="3"/>
      <c r="M163" s="3"/>
    </row>
    <row r="164">
      <c r="A164" s="3"/>
      <c r="B164" s="3"/>
      <c r="C164" s="3"/>
      <c r="D164" s="3"/>
      <c r="E164" s="3"/>
      <c r="F164" s="3"/>
      <c r="M164" s="3"/>
    </row>
    <row r="165">
      <c r="A165" s="3"/>
      <c r="B165" s="3"/>
      <c r="C165" s="3"/>
      <c r="D165" s="3"/>
      <c r="E165" s="3"/>
      <c r="F165" s="3"/>
      <c r="M165" s="3"/>
    </row>
    <row r="166">
      <c r="A166" s="3"/>
      <c r="B166" s="3"/>
      <c r="C166" s="3"/>
      <c r="D166" s="3"/>
      <c r="E166" s="3"/>
      <c r="F166" s="3"/>
      <c r="M166" s="3"/>
    </row>
    <row r="167">
      <c r="A167" s="3"/>
      <c r="B167" s="3"/>
      <c r="C167" s="3"/>
      <c r="D167" s="3"/>
      <c r="E167" s="3"/>
      <c r="F167" s="3"/>
      <c r="M167" s="3"/>
    </row>
    <row r="168">
      <c r="A168" s="3"/>
      <c r="B168" s="3"/>
      <c r="C168" s="3"/>
      <c r="D168" s="3"/>
      <c r="E168" s="3"/>
      <c r="F168" s="3"/>
      <c r="M168" s="3"/>
    </row>
    <row r="169">
      <c r="A169" s="3"/>
      <c r="B169" s="3"/>
      <c r="C169" s="3"/>
      <c r="D169" s="3"/>
      <c r="E169" s="3"/>
      <c r="F169" s="3"/>
      <c r="M169" s="3"/>
    </row>
    <row r="170">
      <c r="A170" s="3"/>
      <c r="B170" s="3"/>
      <c r="C170" s="3"/>
      <c r="D170" s="3"/>
      <c r="E170" s="3"/>
      <c r="F170" s="3"/>
      <c r="M170" s="3"/>
    </row>
    <row r="171">
      <c r="A171" s="3"/>
      <c r="B171" s="3"/>
      <c r="C171" s="3"/>
      <c r="D171" s="3"/>
      <c r="E171" s="3"/>
      <c r="F171" s="3"/>
      <c r="M171" s="3"/>
    </row>
    <row r="172">
      <c r="A172" s="3"/>
      <c r="B172" s="3"/>
      <c r="C172" s="3"/>
      <c r="D172" s="3"/>
      <c r="E172" s="3"/>
      <c r="F172" s="3"/>
      <c r="M172" s="3"/>
    </row>
    <row r="173">
      <c r="A173" s="3"/>
      <c r="B173" s="3"/>
      <c r="C173" s="3"/>
      <c r="D173" s="3"/>
      <c r="E173" s="3"/>
      <c r="F173" s="3"/>
      <c r="M173" s="3"/>
    </row>
    <row r="174">
      <c r="A174" s="3"/>
      <c r="B174" s="3"/>
      <c r="C174" s="3"/>
      <c r="D174" s="3"/>
      <c r="E174" s="3"/>
      <c r="F174" s="3"/>
      <c r="M174" s="3"/>
    </row>
    <row r="175">
      <c r="A175" s="3"/>
      <c r="B175" s="3"/>
      <c r="C175" s="3"/>
      <c r="D175" s="3"/>
      <c r="E175" s="3"/>
      <c r="F175" s="3"/>
      <c r="M175" s="3"/>
    </row>
    <row r="176">
      <c r="A176" s="3"/>
      <c r="B176" s="3"/>
      <c r="C176" s="3"/>
      <c r="D176" s="3"/>
      <c r="E176" s="3"/>
      <c r="F176" s="3"/>
      <c r="M176" s="3"/>
    </row>
    <row r="177">
      <c r="A177" s="3"/>
      <c r="B177" s="3"/>
      <c r="C177" s="3"/>
      <c r="D177" s="3"/>
      <c r="E177" s="3"/>
      <c r="F177" s="3"/>
      <c r="M177" s="3"/>
    </row>
    <row r="178">
      <c r="A178" s="3"/>
      <c r="B178" s="3"/>
      <c r="C178" s="3"/>
      <c r="D178" s="3"/>
      <c r="E178" s="3"/>
      <c r="F178" s="3"/>
      <c r="M178" s="3"/>
    </row>
    <row r="179">
      <c r="A179" s="3"/>
      <c r="B179" s="3"/>
      <c r="C179" s="3"/>
      <c r="D179" s="3"/>
      <c r="E179" s="3"/>
      <c r="F179" s="3"/>
      <c r="M179" s="3"/>
    </row>
    <row r="180">
      <c r="A180" s="3"/>
      <c r="B180" s="3"/>
      <c r="C180" s="3"/>
      <c r="D180" s="3"/>
      <c r="E180" s="3"/>
      <c r="F180" s="3"/>
      <c r="M180" s="3"/>
    </row>
    <row r="181">
      <c r="A181" s="3"/>
      <c r="B181" s="3"/>
      <c r="C181" s="3"/>
      <c r="D181" s="3"/>
      <c r="E181" s="3"/>
      <c r="F181" s="3"/>
      <c r="M181" s="3"/>
    </row>
    <row r="182">
      <c r="A182" s="3"/>
      <c r="B182" s="3"/>
      <c r="C182" s="3"/>
      <c r="D182" s="3"/>
      <c r="E182" s="3"/>
      <c r="F182" s="3"/>
      <c r="M182" s="3"/>
    </row>
    <row r="183">
      <c r="A183" s="3"/>
      <c r="B183" s="3"/>
      <c r="C183" s="3"/>
      <c r="D183" s="3"/>
      <c r="E183" s="3"/>
      <c r="F183" s="3"/>
      <c r="M183" s="3"/>
    </row>
    <row r="184">
      <c r="A184" s="3"/>
      <c r="B184" s="3"/>
      <c r="C184" s="3"/>
      <c r="D184" s="3"/>
      <c r="E184" s="3"/>
      <c r="F184" s="3"/>
      <c r="M184" s="3"/>
    </row>
    <row r="185">
      <c r="A185" s="3"/>
      <c r="B185" s="3"/>
      <c r="C185" s="3"/>
      <c r="D185" s="3"/>
      <c r="E185" s="3"/>
      <c r="F185" s="3"/>
      <c r="M185" s="3"/>
    </row>
    <row r="186">
      <c r="A186" s="3"/>
      <c r="B186" s="3"/>
      <c r="C186" s="3"/>
      <c r="D186" s="3"/>
      <c r="E186" s="3"/>
      <c r="F186" s="3"/>
      <c r="M186" s="3"/>
    </row>
    <row r="187">
      <c r="A187" s="3"/>
      <c r="B187" s="3"/>
      <c r="C187" s="3"/>
      <c r="D187" s="3"/>
      <c r="E187" s="3"/>
      <c r="F187" s="3"/>
      <c r="M187" s="3"/>
    </row>
    <row r="188">
      <c r="A188" s="3"/>
      <c r="B188" s="3"/>
      <c r="C188" s="3"/>
      <c r="D188" s="3"/>
      <c r="E188" s="3"/>
      <c r="F188" s="3"/>
      <c r="M188" s="3"/>
    </row>
    <row r="189">
      <c r="A189" s="3"/>
      <c r="B189" s="3"/>
      <c r="C189" s="3"/>
      <c r="D189" s="3"/>
      <c r="E189" s="3"/>
      <c r="F189" s="3"/>
      <c r="M189" s="3"/>
    </row>
  </sheetData>
  <mergeCells count="3">
    <mergeCell ref="A2:A4"/>
    <mergeCell ref="A8:A10"/>
    <mergeCell ref="A17:A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5.02" customWidth="1"/>
    <col min="2" max="2" width="16.59" customWidth="1"/>
    <col min="3" max="3" width="22.52" customWidth="1"/>
    <col min="4" max="4" width="34.92" customWidth="1"/>
    <col min="5" max="9" width="9.6" customWidth="1"/>
    <col min="10" max="10" width="12.4" customWidth="1"/>
    <col min="11" max="11" width="11.35" customWidth="1"/>
    <col min="12" max="12" width="11.52" customWidth="1"/>
    <col min="13" max="13" width="19.73" customWidth="1"/>
    <col min="14" max="18" width="16.59" customWidth="1"/>
  </cols>
  <sheetData>
    <row r="1">
      <c r="A1" s="141" t="s">
        <v>2767</v>
      </c>
      <c r="B1" s="141" t="s">
        <v>2768</v>
      </c>
      <c r="C1" s="141" t="s">
        <v>2769</v>
      </c>
      <c r="D1" s="141" t="s">
        <v>2770</v>
      </c>
      <c r="E1" s="142" t="s">
        <v>2771</v>
      </c>
      <c r="F1" s="142"/>
      <c r="G1" s="142"/>
      <c r="H1" s="142"/>
      <c r="I1" s="142"/>
      <c r="J1" s="142" t="s">
        <v>2772</v>
      </c>
      <c r="K1" s="142" t="s">
        <v>2773</v>
      </c>
      <c r="L1" s="142" t="s">
        <v>2774</v>
      </c>
      <c r="M1" s="142" t="s">
        <v>2775</v>
      </c>
      <c r="N1" s="3"/>
      <c r="O1" s="3"/>
    </row>
    <row r="2">
      <c r="A2" s="143"/>
      <c r="B2" s="143"/>
      <c r="C2" s="143"/>
      <c r="D2" s="143"/>
      <c r="E2" s="144" t="s">
        <v>2776</v>
      </c>
      <c r="F2" s="144" t="s">
        <v>2777</v>
      </c>
      <c r="G2" s="144" t="s">
        <v>2778</v>
      </c>
      <c r="H2" s="144" t="s">
        <v>2779</v>
      </c>
      <c r="I2" s="144" t="s">
        <v>2780</v>
      </c>
      <c r="J2" s="145" t="s">
        <v>2781</v>
      </c>
      <c r="K2" s="145" t="s">
        <v>2782</v>
      </c>
      <c r="L2" s="145" t="s">
        <v>2783</v>
      </c>
      <c r="M2" s="145"/>
      <c r="N2" s="219"/>
      <c r="O2" s="219"/>
    </row>
    <row r="3" ht="24.75" customHeight="1">
      <c r="A3" s="146" t="n">
        <v>44454</v>
      </c>
      <c r="B3" s="148" t="s">
        <v>2784</v>
      </c>
      <c r="C3" s="157" t="s">
        <v>2785</v>
      </c>
      <c r="D3" s="165" t="s">
        <v>2786</v>
      </c>
      <c r="E3" s="240" t="n">
        <v>4600</v>
      </c>
      <c r="F3" s="157" t="n">
        <v>4595</v>
      </c>
      <c r="G3" s="157" t="n">
        <v>13</v>
      </c>
      <c r="H3" s="157" t="n">
        <v>134</v>
      </c>
      <c r="I3" s="157" t="n">
        <v>2998</v>
      </c>
      <c r="J3" s="157" t="n">
        <v>236</v>
      </c>
      <c r="K3" s="240" t="n">
        <v>570</v>
      </c>
      <c r="L3" s="154" t="n">
        <v>24000</v>
      </c>
      <c r="M3" s="159" t="n">
        <f>SUM(E3,J3,K3,L3)</f>
        <v>29406</v>
      </c>
      <c r="N3" s="154"/>
      <c r="O3" s="154"/>
      <c r="P3" s="219"/>
      <c r="Q3" s="219"/>
      <c r="R3" s="219"/>
    </row>
    <row r="4" ht="24.75" customHeight="1">
      <c r="A4" s="146" t="n">
        <v>44453</v>
      </c>
      <c r="B4" s="148" t="s">
        <v>2787</v>
      </c>
      <c r="C4" s="157" t="s">
        <v>2788</v>
      </c>
      <c r="D4" s="165" t="s">
        <v>2789</v>
      </c>
      <c r="E4" s="240" t="n">
        <v>4724</v>
      </c>
      <c r="F4" s="157" t="n">
        <v>129</v>
      </c>
      <c r="G4" s="157" t="n">
        <v>3</v>
      </c>
      <c r="H4" s="157" t="n">
        <v>100</v>
      </c>
      <c r="I4" s="157" t="n">
        <v>4</v>
      </c>
      <c r="J4" s="157" t="n">
        <v>174</v>
      </c>
      <c r="K4" s="240" t="n">
        <v>162</v>
      </c>
      <c r="L4" s="154" t="n">
        <v>217</v>
      </c>
      <c r="M4" s="159" t="n">
        <f>SUM(E4,J4,K4,L4)</f>
        <v>5277</v>
      </c>
      <c r="N4" s="154"/>
      <c r="O4" s="154"/>
      <c r="P4" s="219"/>
      <c r="Q4" s="219"/>
      <c r="R4" s="219"/>
    </row>
    <row r="5" ht="24.75" customHeight="1">
      <c r="A5" s="156" t="n">
        <v>44417</v>
      </c>
      <c r="B5" s="157" t="s">
        <v>2790</v>
      </c>
      <c r="C5" s="157" t="s">
        <v>2791</v>
      </c>
      <c r="D5" s="165" t="s">
        <v>2792</v>
      </c>
      <c r="E5" s="240" t="n">
        <v>23000</v>
      </c>
      <c r="F5" s="157" t="n">
        <v>504</v>
      </c>
      <c r="G5" s="157" t="n">
        <v>24</v>
      </c>
      <c r="H5" s="157" t="n">
        <v>492</v>
      </c>
      <c r="I5" s="157" t="n">
        <v>29</v>
      </c>
      <c r="J5" s="157" t="n">
        <v>272</v>
      </c>
      <c r="K5" s="240" t="n">
        <v>19000</v>
      </c>
      <c r="L5" s="154" t="n">
        <v>3782</v>
      </c>
      <c r="M5" s="159" t="n">
        <f>SUM(E5,J5,K5,L5)</f>
        <v>46054</v>
      </c>
      <c r="N5" s="154" t="n">
        <v>3782</v>
      </c>
      <c r="O5" s="154"/>
      <c r="P5" s="223" t="n">
        <v>155</v>
      </c>
      <c r="Q5" s="223" t="n">
        <v>1146</v>
      </c>
      <c r="R5" s="3"/>
    </row>
    <row r="6" ht="24.75" customHeight="1">
      <c r="A6" s="156" t="n">
        <v>44345</v>
      </c>
      <c r="B6" s="157" t="s">
        <v>2793</v>
      </c>
      <c r="C6" s="157" t="s">
        <v>2794</v>
      </c>
      <c r="D6" s="166" t="s">
        <v>2795</v>
      </c>
      <c r="E6" s="157" t="n">
        <v>1256</v>
      </c>
      <c r="F6" s="159" t="n">
        <v>32</v>
      </c>
      <c r="G6" s="159" t="n">
        <v>2</v>
      </c>
      <c r="H6" s="159" t="n">
        <v>16</v>
      </c>
      <c r="I6" s="159" t="n">
        <v>0</v>
      </c>
      <c r="J6" s="159"/>
      <c r="K6" s="159"/>
      <c r="L6" s="159"/>
      <c r="M6" s="159"/>
      <c r="N6" s="154"/>
      <c r="O6" s="154"/>
    </row>
    <row r="7" ht="24.75" customHeight="1">
      <c r="A7" s="156" t="n">
        <v>44345</v>
      </c>
      <c r="B7" s="157" t="s">
        <v>2796</v>
      </c>
      <c r="C7" s="157" t="s">
        <v>2797</v>
      </c>
      <c r="D7" s="169" t="s">
        <v>2798</v>
      </c>
      <c r="E7" s="157" t="n">
        <v>18000</v>
      </c>
      <c r="F7" s="159" t="n">
        <v>5006</v>
      </c>
      <c r="G7" s="159" t="n">
        <v>8</v>
      </c>
      <c r="H7" s="159" t="n">
        <v>151</v>
      </c>
      <c r="I7" s="159" t="n">
        <v>32</v>
      </c>
      <c r="J7" s="159"/>
      <c r="K7" s="159"/>
      <c r="L7" s="159"/>
      <c r="M7" s="159" t="n">
        <v>41249</v>
      </c>
      <c r="N7" s="154"/>
      <c r="O7" s="154"/>
    </row>
    <row r="8" ht="24.75" customHeight="1">
      <c r="A8" s="156" t="n">
        <v>44340</v>
      </c>
      <c r="B8" s="157" t="s">
        <v>2799</v>
      </c>
      <c r="C8" s="157" t="s">
        <v>2800</v>
      </c>
      <c r="D8" s="171" t="s">
        <v>2801</v>
      </c>
      <c r="E8" s="157" t="n">
        <v>29000</v>
      </c>
      <c r="F8" s="159" t="n">
        <v>702</v>
      </c>
      <c r="G8" s="159" t="n">
        <v>35</v>
      </c>
      <c r="H8" s="159" t="n">
        <v>758</v>
      </c>
      <c r="I8" s="159" t="n">
        <v>35</v>
      </c>
      <c r="J8" s="159"/>
      <c r="K8" s="159"/>
      <c r="L8" s="159"/>
      <c r="M8" s="159" t="n">
        <v>42492</v>
      </c>
      <c r="N8" s="154"/>
      <c r="O8" s="154"/>
    </row>
    <row r="9" ht="24.75" customHeight="1">
      <c r="A9" s="156" t="n">
        <v>44329</v>
      </c>
      <c r="B9" s="157" t="s">
        <v>2802</v>
      </c>
      <c r="C9" s="157" t="s">
        <v>2803</v>
      </c>
      <c r="D9" s="159" t="s">
        <v>2804</v>
      </c>
      <c r="E9" s="157" t="n">
        <v>5567</v>
      </c>
      <c r="F9" s="159" t="n">
        <v>81</v>
      </c>
      <c r="G9" s="159" t="n">
        <v>3</v>
      </c>
      <c r="H9" s="159" t="n">
        <v>114</v>
      </c>
      <c r="I9" s="159" t="n">
        <v>1</v>
      </c>
      <c r="J9" s="159"/>
      <c r="K9" s="159"/>
      <c r="L9" s="159"/>
      <c r="M9" s="159" t="n">
        <v>13356</v>
      </c>
      <c r="N9" s="154"/>
      <c r="O9" s="154"/>
    </row>
    <row r="10" ht="24.75" customHeight="1">
      <c r="A10" s="172" t="n">
        <v>44305</v>
      </c>
      <c r="B10" s="170" t="s">
        <v>2805</v>
      </c>
      <c r="C10" s="170" t="s">
        <v>2806</v>
      </c>
      <c r="D10" s="173" t="s">
        <v>2807</v>
      </c>
      <c r="E10" s="170" t="n">
        <v>40000</v>
      </c>
      <c r="F10" s="170" t="n">
        <v>989</v>
      </c>
      <c r="G10" s="170" t="n">
        <v>25</v>
      </c>
      <c r="H10" s="170" t="n">
        <v>804</v>
      </c>
      <c r="I10" s="170" t="n">
        <v>55</v>
      </c>
      <c r="J10" s="170"/>
      <c r="K10" s="170"/>
      <c r="L10" s="170"/>
      <c r="M10" s="170" t="n">
        <v>35001</v>
      </c>
      <c r="N10" s="154"/>
      <c r="O10" s="154"/>
    </row>
    <row r="11" ht="24.75" customHeight="1">
      <c r="A11" s="172" t="n">
        <v>44281</v>
      </c>
      <c r="B11" s="170" t="s">
        <v>2808</v>
      </c>
      <c r="C11" s="170" t="s">
        <v>2809</v>
      </c>
      <c r="D11" s="173" t="s">
        <v>2810</v>
      </c>
      <c r="E11" s="170" t="n">
        <v>24000</v>
      </c>
      <c r="F11" s="170" t="n">
        <v>523</v>
      </c>
      <c r="G11" s="170" t="n">
        <v>32</v>
      </c>
      <c r="H11" s="170" t="n">
        <v>450</v>
      </c>
      <c r="I11" s="170" t="n">
        <v>27</v>
      </c>
      <c r="J11" s="170"/>
      <c r="K11" s="170"/>
      <c r="L11" s="170"/>
      <c r="M11" s="170" t="n">
        <v>32080</v>
      </c>
      <c r="N11" s="154"/>
      <c r="O11" s="154"/>
    </row>
    <row r="12" ht="24.75" customHeight="1">
      <c r="A12" s="241" t="s">
        <v>2811</v>
      </c>
      <c r="B12" s="186" t="s">
        <v>2812</v>
      </c>
      <c r="C12" s="186" t="s">
        <v>2813</v>
      </c>
      <c r="D12" s="242" t="s">
        <v>2814</v>
      </c>
      <c r="E12" s="243" t="n">
        <v>4523</v>
      </c>
      <c r="F12" s="244" t="n">
        <v>84</v>
      </c>
      <c r="G12" s="244" t="n">
        <v>22</v>
      </c>
      <c r="H12" s="244" t="n">
        <v>126</v>
      </c>
      <c r="I12" s="244" t="n">
        <v>13</v>
      </c>
      <c r="J12" s="186"/>
      <c r="K12" s="186"/>
      <c r="L12" s="186"/>
      <c r="M12" s="186" t="s">
        <f>SUM(#REF!,#REF!,#REF!,E12)</f>
        <v>2815</v>
      </c>
      <c r="N12" s="219"/>
      <c r="O12" s="219"/>
    </row>
    <row r="13" ht="26.25" customHeight="1">
      <c r="A13" s="245" t="s">
        <v>2816</v>
      </c>
      <c r="B13" s="246" t="s">
        <v>2817</v>
      </c>
      <c r="C13" s="246" t="s">
        <v>2818</v>
      </c>
      <c r="D13" s="247" t="s">
        <v>2819</v>
      </c>
      <c r="E13" s="248" t="n">
        <v>5567</v>
      </c>
      <c r="F13" s="249" t="n">
        <v>122</v>
      </c>
      <c r="G13" s="249" t="n">
        <v>15</v>
      </c>
      <c r="H13" s="249" t="n">
        <v>114</v>
      </c>
      <c r="I13" s="249" t="n">
        <v>16</v>
      </c>
      <c r="J13" s="246"/>
      <c r="K13" s="246"/>
      <c r="L13" s="246"/>
      <c r="M13" s="246" t="s">
        <f>SUM(#REF!,#REF!,#REF!,E13)</f>
        <v>2820</v>
      </c>
      <c r="N13" s="3"/>
      <c r="O13" s="3"/>
    </row>
    <row r="14" ht="24.75" customHeight="1">
      <c r="A14" s="245" t="s">
        <v>2821</v>
      </c>
      <c r="B14" s="246" t="s">
        <v>2822</v>
      </c>
      <c r="C14" s="246" t="s">
        <v>2823</v>
      </c>
      <c r="D14" s="247" t="s">
        <v>2824</v>
      </c>
      <c r="E14" s="248" t="n">
        <v>2921</v>
      </c>
      <c r="F14" s="249" t="n">
        <v>65</v>
      </c>
      <c r="G14" s="249" t="n">
        <v>8</v>
      </c>
      <c r="H14" s="249" t="n">
        <v>45</v>
      </c>
      <c r="I14" s="249" t="n">
        <v>2</v>
      </c>
      <c r="J14" s="246"/>
      <c r="K14" s="246"/>
      <c r="L14" s="246"/>
      <c r="M14" s="246" t="s">
        <f>SUM(#REF!,#REF!,#REF!,E14)</f>
        <v>2825</v>
      </c>
      <c r="N14" s="3"/>
      <c r="O14" s="3"/>
    </row>
    <row r="15" ht="43.5" customHeight="1">
      <c r="A15" s="245" t="s">
        <v>2826</v>
      </c>
      <c r="B15" s="246" t="s">
        <v>2827</v>
      </c>
      <c r="C15" s="246" t="s">
        <v>2828</v>
      </c>
      <c r="D15" s="247" t="s">
        <v>2829</v>
      </c>
      <c r="E15" s="248" t="n">
        <v>2141</v>
      </c>
      <c r="F15" s="249" t="n">
        <v>75</v>
      </c>
      <c r="G15" s="249" t="n">
        <v>5</v>
      </c>
      <c r="H15" s="249" t="n">
        <v>57</v>
      </c>
      <c r="I15" s="249" t="n">
        <v>0</v>
      </c>
      <c r="J15" s="246"/>
      <c r="K15" s="246"/>
      <c r="L15" s="246"/>
      <c r="M15" s="246" t="s">
        <f>SUM(#REF!,#REF!,#REF!,E15)</f>
        <v>2830</v>
      </c>
      <c r="N15" s="3"/>
      <c r="O15" s="3"/>
    </row>
    <row r="16" ht="71.25" customHeight="1">
      <c r="A16" s="246" t="s">
        <v>2831</v>
      </c>
      <c r="B16" s="246" t="s">
        <v>2832</v>
      </c>
      <c r="C16" s="246" t="s">
        <v>2833</v>
      </c>
      <c r="D16" s="247" t="s">
        <v>2834</v>
      </c>
      <c r="E16" s="248" t="n">
        <v>1523</v>
      </c>
      <c r="F16" s="249" t="n">
        <v>39</v>
      </c>
      <c r="G16" s="249" t="n">
        <v>2</v>
      </c>
      <c r="H16" s="249" t="n">
        <v>26</v>
      </c>
      <c r="I16" s="249" t="n">
        <v>3</v>
      </c>
      <c r="J16" s="246"/>
      <c r="K16" s="246"/>
      <c r="L16" s="246"/>
      <c r="M16" s="246" t="s">
        <f>SUM(#REF!,#REF!,#REF!,E16)</f>
        <v>2835</v>
      </c>
      <c r="N16" s="3"/>
      <c r="O16" s="3"/>
    </row>
    <row r="17" ht="63.75" customHeight="1">
      <c r="A17" s="246" t="s">
        <v>2836</v>
      </c>
      <c r="B17" s="246" t="s">
        <v>2837</v>
      </c>
      <c r="C17" s="246" t="s">
        <v>2838</v>
      </c>
      <c r="D17" s="247" t="s">
        <v>2839</v>
      </c>
      <c r="E17" s="248" t="n">
        <v>2523</v>
      </c>
      <c r="F17" s="249" t="n">
        <v>89</v>
      </c>
      <c r="G17" s="249" t="n">
        <v>0</v>
      </c>
      <c r="H17" s="249" t="n">
        <v>57</v>
      </c>
      <c r="I17" s="249" t="n">
        <v>0</v>
      </c>
      <c r="J17" s="246"/>
      <c r="K17" s="246"/>
      <c r="L17" s="246"/>
      <c r="M17" s="246" t="s">
        <f>SUM(#REF!,#REF!,#REF!,E17)</f>
        <v>2840</v>
      </c>
      <c r="N17" s="3"/>
      <c r="O17" s="3"/>
    </row>
    <row r="18">
      <c r="A18" s="246" t="s">
        <v>2841</v>
      </c>
      <c r="B18" s="246" t="s">
        <v>2842</v>
      </c>
      <c r="C18" s="246" t="s">
        <v>2843</v>
      </c>
      <c r="D18" s="247" t="s">
        <v>2844</v>
      </c>
      <c r="E18" s="248" t="n">
        <v>1902</v>
      </c>
      <c r="F18" s="249" t="n">
        <v>29</v>
      </c>
      <c r="G18" s="249" t="n">
        <v>2</v>
      </c>
      <c r="H18" s="249" t="n">
        <v>22</v>
      </c>
      <c r="I18" s="249" t="n">
        <v>2</v>
      </c>
      <c r="J18" s="246"/>
      <c r="K18" s="246"/>
      <c r="L18" s="246"/>
      <c r="M18" s="246" t="s">
        <f>SUM(#REF!,#REF!,#REF!,E18)</f>
        <v>2845</v>
      </c>
      <c r="N18" s="3"/>
      <c r="O18" s="3"/>
    </row>
    <row r="19">
      <c r="A19" s="246" t="s">
        <v>2846</v>
      </c>
      <c r="B19" s="246" t="s">
        <v>2847</v>
      </c>
      <c r="C19" s="246" t="s">
        <v>2848</v>
      </c>
      <c r="D19" s="247" t="s">
        <v>2849</v>
      </c>
      <c r="E19" s="248" t="n">
        <v>2325</v>
      </c>
      <c r="F19" s="249" t="n">
        <v>83</v>
      </c>
      <c r="G19" s="249" t="n">
        <v>0</v>
      </c>
      <c r="H19" s="249" t="n">
        <v>65</v>
      </c>
      <c r="I19" s="249" t="n">
        <v>0</v>
      </c>
      <c r="J19" s="246"/>
      <c r="K19" s="246"/>
      <c r="L19" s="246"/>
      <c r="M19" s="246" t="s">
        <f>SUM(#REF!,#REF!,#REF!,E19)</f>
        <v>2850</v>
      </c>
      <c r="N19" s="3"/>
      <c r="O19" s="3"/>
    </row>
    <row r="20">
      <c r="A20" s="246" t="s">
        <v>2851</v>
      </c>
      <c r="B20" s="246" t="s">
        <v>2852</v>
      </c>
      <c r="C20" s="246" t="s">
        <v>2853</v>
      </c>
      <c r="D20" s="247" t="s">
        <v>2854</v>
      </c>
      <c r="E20" s="248" t="n">
        <v>1377</v>
      </c>
      <c r="F20" s="249" t="n">
        <v>28</v>
      </c>
      <c r="G20" s="249" t="n">
        <v>1</v>
      </c>
      <c r="H20" s="249" t="n">
        <v>19</v>
      </c>
      <c r="I20" s="249" t="n">
        <v>1</v>
      </c>
      <c r="J20" s="246"/>
      <c r="K20" s="246"/>
      <c r="L20" s="246"/>
      <c r="M20" s="246" t="s">
        <f>SUM(#REF!,#REF!,#REF!,E20)</f>
        <v>2855</v>
      </c>
      <c r="N20" s="3"/>
      <c r="O20" s="3"/>
    </row>
    <row r="21">
      <c r="A21" s="246" t="s">
        <v>2856</v>
      </c>
      <c r="B21" s="246" t="s">
        <v>2857</v>
      </c>
      <c r="C21" s="246" t="s">
        <v>2858</v>
      </c>
      <c r="D21" s="247" t="s">
        <v>2859</v>
      </c>
      <c r="E21" s="248" t="n">
        <v>1457</v>
      </c>
      <c r="F21" s="249" t="n">
        <v>24</v>
      </c>
      <c r="G21" s="249" t="n">
        <v>2</v>
      </c>
      <c r="H21" s="249" t="n">
        <v>15</v>
      </c>
      <c r="I21" s="249" t="n">
        <v>1</v>
      </c>
      <c r="J21" s="246"/>
      <c r="K21" s="246"/>
      <c r="L21" s="246"/>
      <c r="M21" s="246" t="s">
        <f>SUM(#REF!,#REF!,#REF!,E21)</f>
        <v>2860</v>
      </c>
      <c r="N21" s="3"/>
      <c r="O21" s="3"/>
    </row>
    <row r="22" ht="37.5" customHeight="1">
      <c r="A22" s="246" t="s">
        <v>2861</v>
      </c>
      <c r="B22" s="246" t="s">
        <v>2862</v>
      </c>
      <c r="C22" s="246" t="s">
        <v>2863</v>
      </c>
      <c r="D22" s="247" t="s">
        <v>2864</v>
      </c>
      <c r="E22" s="248" t="n">
        <v>2054</v>
      </c>
      <c r="F22" s="249" t="n">
        <v>53</v>
      </c>
      <c r="G22" s="249" t="n">
        <v>0</v>
      </c>
      <c r="H22" s="249" t="n">
        <v>52</v>
      </c>
      <c r="I22" s="249" t="n">
        <v>1</v>
      </c>
      <c r="J22" s="246"/>
      <c r="K22" s="246"/>
      <c r="L22" s="246"/>
      <c r="M22" s="246" t="s">
        <f>SUM(#REF!,#REF!,#REF!,E22)</f>
        <v>2865</v>
      </c>
      <c r="N22" s="3"/>
      <c r="O22" s="3"/>
    </row>
    <row r="23">
      <c r="A23" s="246" t="s">
        <v>2866</v>
      </c>
      <c r="B23" s="246" t="s">
        <v>2867</v>
      </c>
      <c r="C23" s="246" t="s">
        <v>2868</v>
      </c>
      <c r="D23" s="247" t="s">
        <v>2869</v>
      </c>
      <c r="E23" s="248" t="n">
        <v>3048</v>
      </c>
      <c r="F23" s="249" t="n">
        <v>75</v>
      </c>
      <c r="G23" s="249" t="n">
        <v>3</v>
      </c>
      <c r="H23" s="249" t="n">
        <v>33</v>
      </c>
      <c r="I23" s="249" t="n">
        <v>4</v>
      </c>
      <c r="J23" s="246"/>
      <c r="K23" s="246"/>
      <c r="L23" s="246"/>
      <c r="M23" s="246" t="s">
        <f>SUM(#REF!,#REF!,#REF!,E23)</f>
        <v>2870</v>
      </c>
      <c r="N23" s="3"/>
      <c r="O23" s="3"/>
    </row>
    <row r="24">
      <c r="A24" s="246" t="s">
        <v>2871</v>
      </c>
      <c r="B24" s="246" t="s">
        <v>2872</v>
      </c>
      <c r="C24" s="246" t="s">
        <v>2873</v>
      </c>
      <c r="D24" s="247" t="s">
        <v>2874</v>
      </c>
      <c r="E24" s="248" t="n">
        <v>2298</v>
      </c>
      <c r="F24" s="249" t="n">
        <v>70</v>
      </c>
      <c r="G24" s="249" t="n">
        <v>10</v>
      </c>
      <c r="H24" s="249" t="n">
        <v>32</v>
      </c>
      <c r="I24" s="249" t="n">
        <v>0</v>
      </c>
      <c r="J24" s="246"/>
      <c r="K24" s="246"/>
      <c r="L24" s="246"/>
      <c r="M24" s="246" t="s">
        <f>SUM(#REF!,#REF!,#REF!,E24)</f>
        <v>2875</v>
      </c>
      <c r="N24" s="3"/>
      <c r="O24" s="3"/>
    </row>
    <row r="25">
      <c r="A25" s="246" t="s">
        <v>2876</v>
      </c>
      <c r="B25" s="246" t="s">
        <v>2877</v>
      </c>
      <c r="C25" s="246" t="s">
        <v>2878</v>
      </c>
      <c r="D25" s="247" t="s">
        <v>2879</v>
      </c>
      <c r="E25" s="248" t="n">
        <v>1106</v>
      </c>
      <c r="F25" s="249" t="n">
        <v>35</v>
      </c>
      <c r="G25" s="249" t="n">
        <v>6</v>
      </c>
      <c r="H25" s="249" t="n">
        <v>9</v>
      </c>
      <c r="I25" s="249" t="n">
        <v>2</v>
      </c>
      <c r="J25" s="246"/>
      <c r="K25" s="246"/>
      <c r="L25" s="246"/>
      <c r="M25" s="246" t="s">
        <f>SUM(#REF!,#REF!,#REF!,E25)</f>
        <v>2880</v>
      </c>
      <c r="N25" s="3"/>
      <c r="O25" s="3"/>
    </row>
    <row r="26">
      <c r="A26" s="246" t="s">
        <v>2881</v>
      </c>
      <c r="B26" s="246" t="s">
        <v>2882</v>
      </c>
      <c r="C26" s="246" t="s">
        <v>2883</v>
      </c>
      <c r="D26" s="250" t="s">
        <v>2884</v>
      </c>
      <c r="E26" s="251" t="n">
        <v>1320</v>
      </c>
      <c r="F26" s="251" t="n">
        <v>32</v>
      </c>
      <c r="G26" s="251" t="n">
        <v>4</v>
      </c>
      <c r="H26" s="251" t="n">
        <v>18</v>
      </c>
      <c r="I26" s="251" t="n">
        <v>0</v>
      </c>
      <c r="J26" s="246"/>
      <c r="K26" s="246"/>
      <c r="L26" s="246"/>
      <c r="M26" s="246" t="s">
        <f>SUM(#REF!,#REF!,#REF!,E26)</f>
        <v>2885</v>
      </c>
      <c r="N26" s="3"/>
      <c r="O26" s="3"/>
    </row>
    <row r="27">
      <c r="A27" s="246" t="s">
        <v>2886</v>
      </c>
      <c r="B27" s="246" t="s">
        <v>2887</v>
      </c>
      <c r="C27" s="246" t="s">
        <v>2888</v>
      </c>
      <c r="D27" s="247" t="s">
        <v>2889</v>
      </c>
      <c r="E27" s="252" t="n">
        <v>13000</v>
      </c>
      <c r="F27" s="252" t="n">
        <v>408</v>
      </c>
      <c r="G27" s="252" t="n">
        <v>14</v>
      </c>
      <c r="H27" s="252" t="n">
        <v>213</v>
      </c>
      <c r="I27" s="252" t="n">
        <v>24</v>
      </c>
      <c r="J27" s="246"/>
      <c r="K27" s="246"/>
      <c r="L27" s="246"/>
      <c r="M27" s="246" t="s">
        <f>SUM(#REF!,#REF!,#REF!,E27)</f>
        <v>2890</v>
      </c>
      <c r="N27" s="3"/>
      <c r="O27" s="3"/>
    </row>
    <row r="28">
      <c r="A28" s="187"/>
      <c r="B28" s="187"/>
      <c r="C28" s="187"/>
      <c r="D28" s="253"/>
      <c r="E28" s="187"/>
      <c r="F28" s="187"/>
      <c r="G28" s="187"/>
      <c r="H28" s="187"/>
      <c r="I28" s="187"/>
      <c r="J28" s="187"/>
      <c r="K28" s="187"/>
      <c r="L28" s="187"/>
      <c r="M28" s="187" t="s">
        <f>SUM(M12:M27)</f>
        <v>2891</v>
      </c>
      <c r="N28" s="3"/>
      <c r="O28" s="3"/>
    </row>
    <row r="29">
      <c r="A29" s="3"/>
      <c r="B29" s="3"/>
      <c r="C29" s="3"/>
      <c r="D29" s="22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>
      <c r="A30" s="3"/>
      <c r="B30" s="3"/>
      <c r="C30" s="3"/>
      <c r="D30" s="228"/>
      <c r="E30" s="254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>
      <c r="A31" s="3"/>
      <c r="B31" s="3"/>
      <c r="C31" s="3"/>
      <c r="D31" s="22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>
      <c r="A32" s="3"/>
      <c r="B32" s="3"/>
      <c r="C32" s="3"/>
      <c r="D32" s="22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>
      <c r="A33" s="3"/>
      <c r="B33" s="3"/>
      <c r="C33" s="3"/>
      <c r="D33" s="255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>
      <c r="A34" s="3"/>
      <c r="B34" s="3"/>
      <c r="C34" s="3"/>
      <c r="D34" s="22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3"/>
      <c r="B35" s="3"/>
      <c r="C35" s="3"/>
      <c r="D35" s="22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>
      <c r="A36" s="3"/>
      <c r="B36" s="3"/>
      <c r="C36" s="3"/>
      <c r="D36" s="228"/>
      <c r="E36" s="254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>
      <c r="A37" s="3"/>
      <c r="B37" s="3"/>
      <c r="C37" s="3"/>
      <c r="D37" s="22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>
      <c r="A38" s="3"/>
      <c r="B38" s="3"/>
      <c r="C38" s="3"/>
      <c r="D38" s="228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>
      <c r="A39" s="3"/>
      <c r="B39" s="3"/>
      <c r="C39" s="3"/>
      <c r="D39" s="255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>
      <c r="A40" s="3"/>
      <c r="B40" s="3"/>
      <c r="C40" s="3"/>
      <c r="D40" s="22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>
      <c r="A41" s="3"/>
      <c r="B41" s="3"/>
      <c r="C41" s="3"/>
      <c r="D41" s="22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>
      <c r="A42" s="3"/>
      <c r="B42" s="3"/>
      <c r="C42" s="3"/>
      <c r="D42" s="228"/>
      <c r="E42" s="254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>
      <c r="A43" s="3"/>
      <c r="B43" s="3"/>
      <c r="C43" s="3"/>
      <c r="D43" s="228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>
      <c r="A44" s="3"/>
      <c r="B44" s="3"/>
      <c r="C44" s="3"/>
      <c r="D44" s="228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>
      <c r="A45" s="3"/>
      <c r="B45" s="3"/>
      <c r="C45" s="3"/>
      <c r="D45" s="255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>
      <c r="A46" s="3"/>
      <c r="B46" s="3"/>
      <c r="C46" s="3"/>
      <c r="D46" s="22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22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"/>
      <c r="B48" s="3"/>
      <c r="C48" s="3"/>
      <c r="D48" s="228"/>
      <c r="E48" s="254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22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228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"/>
      <c r="B51" s="3"/>
      <c r="C51" s="3"/>
      <c r="D51" s="255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>
      <c r="A52" s="3"/>
      <c r="B52" s="3"/>
      <c r="C52" s="3"/>
      <c r="D52" s="228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>
      <c r="A53" s="3"/>
      <c r="B53" s="3"/>
      <c r="C53" s="3"/>
      <c r="D53" s="228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>
      <c r="A54" s="3"/>
      <c r="B54" s="3"/>
      <c r="C54" s="3"/>
      <c r="D54" s="228"/>
      <c r="E54" s="254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>
      <c r="A55" s="3"/>
      <c r="B55" s="3"/>
      <c r="C55" s="3"/>
      <c r="D55" s="2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>
      <c r="A56" s="3"/>
      <c r="B56" s="3"/>
      <c r="C56" s="3"/>
      <c r="D56" s="228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>
      <c r="A57" s="3"/>
      <c r="B57" s="3"/>
      <c r="C57" s="3"/>
      <c r="D57" s="255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/>
      <c r="B58" s="3"/>
      <c r="C58" s="3"/>
      <c r="D58" s="228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"/>
      <c r="B59" s="3"/>
      <c r="C59" s="3"/>
      <c r="D59" s="228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>
      <c r="A60" s="3"/>
      <c r="B60" s="3"/>
      <c r="C60" s="3"/>
      <c r="D60" s="228"/>
      <c r="E60" s="254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>
      <c r="A61" s="3"/>
      <c r="B61" s="3"/>
      <c r="C61" s="3"/>
      <c r="D61" s="228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>
      <c r="A62" s="3"/>
      <c r="B62" s="3"/>
      <c r="C62" s="3"/>
      <c r="D62" s="228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>
      <c r="A63" s="3"/>
      <c r="B63" s="3"/>
      <c r="C63" s="3"/>
      <c r="D63" s="255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>
      <c r="A64" s="3"/>
      <c r="B64" s="3"/>
      <c r="C64" s="3"/>
      <c r="D64" s="228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>
      <c r="A65" s="3"/>
      <c r="B65" s="3"/>
      <c r="C65" s="3"/>
      <c r="D65" s="228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>
      <c r="A66" s="3"/>
      <c r="B66" s="3"/>
      <c r="C66" s="3"/>
      <c r="D66" s="228"/>
      <c r="E66" s="254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>
      <c r="A67" s="3"/>
      <c r="B67" s="3"/>
      <c r="C67" s="3"/>
      <c r="D67" s="228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>
      <c r="A68" s="3"/>
      <c r="B68" s="3"/>
      <c r="C68" s="3"/>
      <c r="D68" s="228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>
      <c r="A69" s="3"/>
      <c r="B69" s="3"/>
      <c r="C69" s="3"/>
      <c r="D69" s="255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>
      <c r="A70" s="3"/>
      <c r="B70" s="3"/>
      <c r="C70" s="3"/>
      <c r="D70" s="228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>
      <c r="A71" s="3"/>
      <c r="B71" s="3"/>
      <c r="C71" s="3"/>
      <c r="D71" s="228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>
      <c r="A72" s="3"/>
      <c r="B72" s="3"/>
      <c r="C72" s="3"/>
      <c r="D72" s="228"/>
      <c r="E72" s="254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>
      <c r="A73" s="3"/>
      <c r="B73" s="3"/>
      <c r="C73" s="3"/>
      <c r="D73" s="228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>
      <c r="A74" s="3"/>
      <c r="B74" s="3"/>
      <c r="C74" s="3"/>
      <c r="D74" s="228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>
      <c r="A75" s="3"/>
      <c r="B75" s="3"/>
      <c r="C75" s="3"/>
      <c r="D75" s="255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>
      <c r="A76" s="3"/>
      <c r="B76" s="3"/>
      <c r="C76" s="3"/>
      <c r="D76" s="228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>
      <c r="A77" s="3"/>
      <c r="B77" s="3"/>
      <c r="C77" s="3"/>
      <c r="D77" s="228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>
      <c r="A78" s="3"/>
      <c r="B78" s="3"/>
      <c r="C78" s="3"/>
      <c r="D78" s="228"/>
      <c r="E78" s="254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>
      <c r="A79" s="3"/>
      <c r="B79" s="3"/>
      <c r="C79" s="3"/>
      <c r="D79" s="228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>
      <c r="A80" s="3"/>
      <c r="B80" s="3"/>
      <c r="C80" s="3"/>
      <c r="D80" s="228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>
      <c r="A81" s="3"/>
      <c r="B81" s="3"/>
      <c r="C81" s="3"/>
      <c r="D81" s="255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>
      <c r="A82" s="3"/>
      <c r="B82" s="3"/>
      <c r="C82" s="3"/>
      <c r="D82" s="228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>
      <c r="A83" s="3"/>
      <c r="B83" s="3"/>
      <c r="C83" s="3"/>
      <c r="D83" s="228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>
      <c r="A84" s="3"/>
      <c r="B84" s="3"/>
      <c r="C84" s="3"/>
      <c r="D84" s="228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>
      <c r="A85" s="3"/>
      <c r="B85" s="3"/>
      <c r="C85" s="3"/>
      <c r="D85" s="228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>
      <c r="A86" s="3"/>
      <c r="B86" s="3"/>
      <c r="C86" s="3"/>
      <c r="D86" s="228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>
      <c r="A87" s="3"/>
      <c r="B87" s="3"/>
      <c r="C87" s="3"/>
      <c r="D87" s="255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>
      <c r="A88" s="3"/>
      <c r="B88" s="3"/>
      <c r="C88" s="3"/>
      <c r="D88" s="228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>
      <c r="A89" s="3"/>
      <c r="B89" s="3"/>
      <c r="C89" s="3"/>
      <c r="D89" s="228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>
      <c r="A90" s="3"/>
      <c r="B90" s="3"/>
      <c r="C90" s="3"/>
      <c r="D90" s="228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>
      <c r="A91" s="3"/>
      <c r="B91" s="3"/>
      <c r="C91" s="3"/>
      <c r="D91" s="228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>
      <c r="A92" s="3"/>
      <c r="B92" s="3"/>
      <c r="C92" s="3"/>
      <c r="D92" s="228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>
      <c r="A93" s="3"/>
      <c r="B93" s="3"/>
      <c r="C93" s="3"/>
      <c r="D93" s="228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>
      <c r="A94" s="3"/>
      <c r="B94" s="3"/>
      <c r="C94" s="3"/>
      <c r="D94" s="228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>
      <c r="A95" s="3"/>
      <c r="B95" s="3"/>
      <c r="C95" s="3"/>
      <c r="D95" s="228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>
      <c r="A96" s="3"/>
      <c r="B96" s="3"/>
      <c r="C96" s="3"/>
      <c r="D96" s="228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>
      <c r="A97" s="3"/>
      <c r="B97" s="3"/>
      <c r="C97" s="3"/>
      <c r="D97" s="228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>
      <c r="A98" s="3"/>
      <c r="B98" s="3"/>
      <c r="C98" s="3"/>
      <c r="D98" s="228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>
      <c r="A99" s="3"/>
      <c r="B99" s="3"/>
      <c r="C99" s="3"/>
      <c r="D99" s="228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>
      <c r="A100" s="3"/>
      <c r="B100" s="3"/>
      <c r="C100" s="3"/>
      <c r="D100" s="228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>
      <c r="A101" s="3"/>
      <c r="B101" s="3"/>
      <c r="C101" s="3"/>
      <c r="D101" s="228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>
      <c r="A102" s="3"/>
      <c r="B102" s="3"/>
      <c r="C102" s="3"/>
      <c r="D102" s="228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>
      <c r="A103" s="3"/>
      <c r="B103" s="3"/>
      <c r="C103" s="3"/>
      <c r="D103" s="22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>
      <c r="A104" s="3"/>
      <c r="B104" s="3"/>
      <c r="C104" s="3"/>
      <c r="D104" s="228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>
      <c r="A105" s="3"/>
      <c r="B105" s="3"/>
      <c r="C105" s="3"/>
      <c r="D105" s="228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>
      <c r="A106" s="3"/>
      <c r="B106" s="3"/>
      <c r="C106" s="3"/>
      <c r="D106" s="228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>
      <c r="A107" s="3"/>
      <c r="B107" s="3"/>
      <c r="C107" s="3"/>
      <c r="D107" s="228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>
      <c r="A108" s="3"/>
      <c r="B108" s="3"/>
      <c r="C108" s="3"/>
      <c r="D108" s="228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>
      <c r="A109" s="3"/>
      <c r="B109" s="3"/>
      <c r="C109" s="3"/>
      <c r="D109" s="228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>
      <c r="A110" s="3"/>
      <c r="B110" s="3"/>
      <c r="C110" s="3"/>
      <c r="D110" s="228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>
      <c r="A111" s="3"/>
      <c r="B111" s="3"/>
      <c r="C111" s="3"/>
      <c r="D111" s="228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>
      <c r="A112" s="3"/>
      <c r="B112" s="3"/>
      <c r="C112" s="3"/>
      <c r="D112" s="228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>
      <c r="A113" s="3"/>
      <c r="B113" s="3"/>
      <c r="C113" s="3"/>
      <c r="D113" s="228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>
      <c r="A114" s="3"/>
      <c r="B114" s="3"/>
      <c r="C114" s="3"/>
      <c r="D114" s="228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>
      <c r="A115" s="3"/>
      <c r="B115" s="3"/>
      <c r="C115" s="3"/>
      <c r="D115" s="228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>
      <c r="A116" s="3"/>
      <c r="B116" s="3"/>
      <c r="C116" s="3"/>
      <c r="D116" s="228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>
      <c r="A117" s="3"/>
      <c r="B117" s="3"/>
      <c r="C117" s="3"/>
      <c r="D117" s="228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>
      <c r="A118" s="3"/>
      <c r="B118" s="3"/>
      <c r="C118" s="3"/>
      <c r="D118" s="228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>
      <c r="A119" s="3"/>
      <c r="B119" s="3"/>
      <c r="C119" s="3"/>
      <c r="D119" s="228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>
      <c r="A120" s="3"/>
      <c r="B120" s="3"/>
      <c r="C120" s="3"/>
      <c r="D120" s="228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>
      <c r="A121" s="3"/>
      <c r="B121" s="3"/>
      <c r="C121" s="3"/>
      <c r="D121" s="228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>
      <c r="A122" s="3"/>
      <c r="B122" s="3"/>
      <c r="C122" s="3"/>
      <c r="D122" s="228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>
      <c r="A123" s="3"/>
      <c r="B123" s="3"/>
      <c r="C123" s="3"/>
      <c r="D123" s="228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>
      <c r="A124" s="3"/>
      <c r="B124" s="3"/>
      <c r="C124" s="3"/>
      <c r="D124" s="228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>
      <c r="A125" s="3"/>
      <c r="B125" s="3"/>
      <c r="C125" s="3"/>
      <c r="D125" s="228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>
      <c r="A126" s="3"/>
      <c r="B126" s="3"/>
      <c r="C126" s="3"/>
      <c r="D126" s="228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>
      <c r="A127" s="3"/>
      <c r="B127" s="3"/>
      <c r="C127" s="3"/>
      <c r="D127" s="228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>
      <c r="A128" s="3"/>
      <c r="B128" s="3"/>
      <c r="C128" s="3"/>
      <c r="D128" s="228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>
      <c r="A129" s="3"/>
      <c r="B129" s="3"/>
      <c r="C129" s="3"/>
      <c r="D129" s="228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>
      <c r="A130" s="3"/>
      <c r="B130" s="3"/>
      <c r="C130" s="3"/>
      <c r="D130" s="228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>
      <c r="A131" s="3"/>
      <c r="B131" s="3"/>
      <c r="C131" s="3"/>
      <c r="D131" s="228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>
      <c r="A132" s="3"/>
      <c r="B132" s="3"/>
      <c r="C132" s="3"/>
      <c r="D132" s="228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>
      <c r="A133" s="3"/>
      <c r="B133" s="3"/>
      <c r="C133" s="3"/>
      <c r="D133" s="228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>
      <c r="A134" s="3"/>
      <c r="B134" s="3"/>
      <c r="C134" s="3"/>
      <c r="D134" s="228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>
      <c r="A135" s="3"/>
      <c r="B135" s="3"/>
      <c r="C135" s="3"/>
      <c r="D135" s="228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>
      <c r="A136" s="3"/>
      <c r="B136" s="3"/>
      <c r="C136" s="3"/>
      <c r="D136" s="228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>
      <c r="A137" s="3"/>
      <c r="B137" s="3"/>
      <c r="C137" s="3"/>
      <c r="D137" s="228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>
      <c r="A138" s="3"/>
      <c r="B138" s="3"/>
      <c r="C138" s="3"/>
      <c r="D138" s="228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>
      <c r="A139" s="3"/>
      <c r="B139" s="3"/>
      <c r="C139" s="3"/>
      <c r="D139" s="228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>
      <c r="A140" s="3"/>
      <c r="B140" s="3"/>
      <c r="C140" s="3"/>
      <c r="D140" s="228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>
      <c r="A141" s="3"/>
      <c r="B141" s="3"/>
      <c r="C141" s="3"/>
      <c r="D141" s="228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>
      <c r="A142" s="3"/>
      <c r="B142" s="3"/>
      <c r="C142" s="3"/>
      <c r="D142" s="228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>
      <c r="A143" s="3"/>
      <c r="B143" s="3"/>
      <c r="C143" s="3"/>
      <c r="D143" s="228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>
      <c r="A144" s="3"/>
      <c r="B144" s="3"/>
      <c r="C144" s="3"/>
      <c r="D144" s="228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>
      <c r="A145" s="3"/>
      <c r="B145" s="3"/>
      <c r="C145" s="3"/>
      <c r="D145" s="228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>
      <c r="A146" s="3"/>
      <c r="B146" s="3"/>
      <c r="C146" s="3"/>
      <c r="D146" s="228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>
      <c r="A147" s="3"/>
      <c r="B147" s="3"/>
      <c r="C147" s="3"/>
      <c r="D147" s="228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>
      <c r="A148" s="3"/>
      <c r="B148" s="3"/>
      <c r="C148" s="3"/>
      <c r="D148" s="228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>
      <c r="A149" s="3"/>
      <c r="B149" s="3"/>
      <c r="C149" s="3"/>
      <c r="D149" s="228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>
      <c r="A150" s="3"/>
      <c r="B150" s="3"/>
      <c r="C150" s="3"/>
      <c r="D150" s="228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>
      <c r="A151" s="3"/>
      <c r="B151" s="3"/>
      <c r="C151" s="3"/>
      <c r="D151" s="228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>
      <c r="A152" s="3"/>
      <c r="B152" s="3"/>
      <c r="C152" s="3"/>
      <c r="D152" s="228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>
      <c r="A153" s="3"/>
      <c r="B153" s="3"/>
      <c r="C153" s="3"/>
      <c r="D153" s="228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>
      <c r="A154" s="3"/>
      <c r="B154" s="3"/>
      <c r="C154" s="3"/>
      <c r="D154" s="228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>
      <c r="A155" s="3"/>
      <c r="B155" s="3"/>
      <c r="C155" s="3"/>
      <c r="D155" s="228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>
      <c r="A156" s="3"/>
      <c r="B156" s="3"/>
      <c r="C156" s="3"/>
      <c r="D156" s="228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>
      <c r="A157" s="3"/>
      <c r="B157" s="3"/>
      <c r="C157" s="3"/>
      <c r="D157" s="228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>
      <c r="A158" s="3"/>
      <c r="B158" s="3"/>
      <c r="C158" s="3"/>
      <c r="D158" s="228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>
      <c r="A159" s="3"/>
      <c r="B159" s="3"/>
      <c r="C159" s="3"/>
      <c r="D159" s="228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>
      <c r="A160" s="3"/>
      <c r="B160" s="3"/>
      <c r="C160" s="3"/>
      <c r="D160" s="228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>
      <c r="A161" s="3"/>
      <c r="B161" s="3"/>
      <c r="C161" s="3"/>
      <c r="D161" s="228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>
      <c r="A162" s="3"/>
      <c r="B162" s="3"/>
      <c r="C162" s="3"/>
      <c r="D162" s="228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>
      <c r="A163" s="3"/>
      <c r="B163" s="3"/>
      <c r="C163" s="3"/>
      <c r="D163" s="228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>
      <c r="A164" s="3"/>
      <c r="B164" s="3"/>
      <c r="C164" s="3"/>
      <c r="D164" s="228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>
      <c r="A165" s="3"/>
      <c r="B165" s="3"/>
      <c r="C165" s="3"/>
      <c r="D165" s="228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>
      <c r="A166" s="3"/>
      <c r="B166" s="3"/>
      <c r="C166" s="3"/>
      <c r="D166" s="228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>
      <c r="A167" s="3"/>
      <c r="B167" s="3"/>
      <c r="C167" s="3"/>
      <c r="D167" s="228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>
      <c r="A168" s="3"/>
      <c r="B168" s="3"/>
      <c r="C168" s="3"/>
      <c r="D168" s="228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>
      <c r="A169" s="3"/>
      <c r="B169" s="3"/>
      <c r="C169" s="3"/>
      <c r="D169" s="228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>
      <c r="A170" s="3"/>
      <c r="B170" s="3"/>
      <c r="C170" s="3"/>
      <c r="D170" s="228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>
      <c r="A171" s="3"/>
      <c r="B171" s="3"/>
      <c r="C171" s="3"/>
      <c r="D171" s="228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>
      <c r="A172" s="3"/>
      <c r="B172" s="3"/>
      <c r="C172" s="3"/>
      <c r="D172" s="228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>
      <c r="A173" s="3"/>
      <c r="B173" s="3"/>
      <c r="C173" s="3"/>
      <c r="D173" s="228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>
      <c r="A174" s="3"/>
      <c r="B174" s="3"/>
      <c r="C174" s="3"/>
      <c r="D174" s="228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>
      <c r="A175" s="3"/>
      <c r="B175" s="3"/>
      <c r="C175" s="3"/>
      <c r="D175" s="228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>
      <c r="A176" s="3"/>
      <c r="B176" s="3"/>
      <c r="C176" s="3"/>
      <c r="D176" s="228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>
      <c r="A177" s="3"/>
      <c r="B177" s="3"/>
      <c r="C177" s="3"/>
      <c r="D177" s="228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>
      <c r="A178" s="3"/>
      <c r="B178" s="3"/>
      <c r="C178" s="3"/>
      <c r="D178" s="228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>
      <c r="A179" s="3"/>
      <c r="B179" s="3"/>
      <c r="C179" s="3"/>
      <c r="D179" s="228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>
      <c r="A180" s="3"/>
      <c r="B180" s="3"/>
      <c r="C180" s="3"/>
      <c r="D180" s="228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>
      <c r="A181" s="3"/>
      <c r="B181" s="3"/>
      <c r="C181" s="3"/>
      <c r="D181" s="228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>
      <c r="A182" s="3"/>
      <c r="B182" s="3"/>
      <c r="C182" s="3"/>
      <c r="D182" s="228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>
      <c r="A183" s="3"/>
      <c r="B183" s="3"/>
      <c r="C183" s="3"/>
      <c r="D183" s="228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>
      <c r="A184" s="3"/>
      <c r="B184" s="3"/>
      <c r="C184" s="3"/>
      <c r="D184" s="228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>
      <c r="A185" s="3"/>
      <c r="B185" s="3"/>
      <c r="C185" s="3"/>
      <c r="D185" s="228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>
      <c r="A186" s="3"/>
      <c r="B186" s="3"/>
      <c r="C186" s="3"/>
      <c r="D186" s="228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>
      <c r="A187" s="3"/>
      <c r="B187" s="3"/>
      <c r="C187" s="3"/>
      <c r="D187" s="228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>
      <c r="A188" s="3"/>
      <c r="B188" s="3"/>
      <c r="C188" s="3"/>
      <c r="D188" s="228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>
      <c r="A189" s="3"/>
      <c r="B189" s="3"/>
      <c r="C189" s="3"/>
      <c r="D189" s="228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>
      <c r="A190" s="3"/>
      <c r="B190" s="3"/>
      <c r="C190" s="3"/>
      <c r="D190" s="228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>
      <c r="A191" s="3"/>
      <c r="B191" s="3"/>
      <c r="C191" s="3"/>
      <c r="D191" s="228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>
      <c r="A192" s="3"/>
      <c r="B192" s="3"/>
      <c r="C192" s="3"/>
      <c r="D192" s="228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>
      <c r="A193" s="3"/>
      <c r="B193" s="3"/>
      <c r="C193" s="3"/>
      <c r="D193" s="228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>
      <c r="A194" s="3"/>
      <c r="B194" s="3"/>
      <c r="C194" s="3"/>
      <c r="D194" s="228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>
      <c r="A195" s="3"/>
      <c r="B195" s="3"/>
      <c r="C195" s="3"/>
      <c r="D195" s="228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>
      <c r="A196" s="3"/>
      <c r="B196" s="3"/>
      <c r="C196" s="3"/>
      <c r="D196" s="228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>
      <c r="A197" s="3"/>
      <c r="B197" s="3"/>
      <c r="C197" s="3"/>
      <c r="D197" s="228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>
      <c r="A198" s="3"/>
      <c r="B198" s="3"/>
      <c r="C198" s="3"/>
      <c r="D198" s="228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>
      <c r="A199" s="3"/>
      <c r="B199" s="3"/>
      <c r="C199" s="3"/>
      <c r="D199" s="228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>
      <c r="A200" s="3"/>
      <c r="B200" s="3"/>
      <c r="C200" s="3"/>
      <c r="D200" s="228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>
      <c r="A201" s="3"/>
      <c r="B201" s="3"/>
      <c r="C201" s="3"/>
      <c r="D201" s="228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>
      <c r="A202" s="3"/>
      <c r="B202" s="3"/>
      <c r="C202" s="3"/>
      <c r="D202" s="228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>
      <c r="A203" s="3"/>
      <c r="B203" s="3"/>
      <c r="C203" s="3"/>
      <c r="D203" s="228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>
      <c r="A204" s="3"/>
      <c r="B204" s="3"/>
      <c r="C204" s="3"/>
      <c r="D204" s="228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>
      <c r="A205" s="3"/>
      <c r="B205" s="3"/>
      <c r="C205" s="3"/>
      <c r="D205" s="228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>
      <c r="A206" s="3"/>
      <c r="B206" s="3"/>
      <c r="C206" s="3"/>
      <c r="D206" s="228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>
      <c r="A207" s="3"/>
      <c r="B207" s="3"/>
      <c r="C207" s="3"/>
      <c r="D207" s="228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>
      <c r="A208" s="3"/>
      <c r="B208" s="3"/>
      <c r="C208" s="3"/>
      <c r="D208" s="228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>
      <c r="A209" s="3"/>
      <c r="B209" s="3"/>
      <c r="C209" s="3"/>
      <c r="D209" s="228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</sheetData>
  <mergeCells count="6">
    <mergeCell ref="A1:A2"/>
    <mergeCell ref="B1:B2"/>
    <mergeCell ref="C1:C2"/>
    <mergeCell ref="D1:D2"/>
    <mergeCell ref="E1:I1"/>
    <mergeCell ref="M1:M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9.08" customWidth="1"/>
    <col min="2" max="2" width="26.19" customWidth="1"/>
    <col min="3" max="17" width="7.86" customWidth="1"/>
    <col min="18" max="19" width="16.59" customWidth="1"/>
  </cols>
  <sheetData>
    <row r="1">
      <c r="A1" s="193" t="s">
        <v>2892</v>
      </c>
      <c r="B1" s="194" t="s">
        <v>2893</v>
      </c>
      <c r="C1" s="194" t="s">
        <v>2894</v>
      </c>
      <c r="D1" s="194"/>
      <c r="E1" s="194"/>
      <c r="F1" s="194"/>
      <c r="G1" s="194" t="s">
        <v>2895</v>
      </c>
      <c r="H1" s="194"/>
      <c r="I1" s="194"/>
      <c r="J1" s="194"/>
      <c r="K1" s="194" t="s">
        <v>2896</v>
      </c>
      <c r="L1" s="194"/>
      <c r="M1" s="194"/>
      <c r="N1" s="194" t="s">
        <v>2897</v>
      </c>
      <c r="O1" s="194"/>
      <c r="P1" s="194"/>
      <c r="Q1" s="193" t="s">
        <v>2898</v>
      </c>
      <c r="R1" s="193" t="s">
        <v>2899</v>
      </c>
      <c r="S1" s="193" t="s">
        <v>2900</v>
      </c>
    </row>
    <row r="2">
      <c r="A2" s="193"/>
      <c r="B2" s="194"/>
      <c r="C2" s="195" t="s">
        <v>2901</v>
      </c>
      <c r="D2" s="195" t="s">
        <v>2902</v>
      </c>
      <c r="E2" s="195" t="s">
        <v>2903</v>
      </c>
      <c r="F2" s="195" t="s">
        <v>2904</v>
      </c>
      <c r="G2" s="195" t="s">
        <v>2905</v>
      </c>
      <c r="H2" s="195" t="s">
        <v>2906</v>
      </c>
      <c r="I2" s="195" t="s">
        <v>2907</v>
      </c>
      <c r="J2" s="195" t="s">
        <v>2908</v>
      </c>
      <c r="K2" s="194" t="s">
        <v>2909</v>
      </c>
      <c r="L2" s="194" t="s">
        <v>2910</v>
      </c>
      <c r="M2" s="194" t="s">
        <v>2911</v>
      </c>
      <c r="N2" s="194" t="s">
        <v>2912</v>
      </c>
      <c r="O2" s="194" t="s">
        <v>2913</v>
      </c>
      <c r="P2" s="194" t="s">
        <v>2914</v>
      </c>
      <c r="Q2" s="193" t="s">
        <v>2915</v>
      </c>
      <c r="R2" s="193" t="s">
        <v>2916</v>
      </c>
      <c r="S2" s="193" t="s">
        <v>2917</v>
      </c>
    </row>
    <row r="3">
      <c r="A3" s="157" t="s">
        <v>2918</v>
      </c>
      <c r="B3" s="256" t="s">
        <v>2919</v>
      </c>
      <c r="C3" s="157" t="n">
        <v>3020</v>
      </c>
      <c r="D3" s="159" t="n">
        <v>20</v>
      </c>
      <c r="E3" s="159" t="n">
        <v>2</v>
      </c>
      <c r="F3" s="159" t="n">
        <v>10</v>
      </c>
      <c r="G3" s="157" t="s">
        <v>2920</v>
      </c>
      <c r="H3" s="159" t="s">
        <v>2921</v>
      </c>
      <c r="I3" s="159" t="s">
        <v>2922</v>
      </c>
      <c r="J3" s="159" t="s">
        <v>2923</v>
      </c>
      <c r="K3" s="159" t="n">
        <v>64</v>
      </c>
      <c r="L3" s="159" t="n">
        <v>0</v>
      </c>
      <c r="M3" s="159" t="n">
        <v>1</v>
      </c>
      <c r="N3" s="159" t="n">
        <v>1520</v>
      </c>
      <c r="O3" s="159" t="n">
        <v>12</v>
      </c>
      <c r="P3" s="159" t="n">
        <v>3</v>
      </c>
      <c r="Q3" s="157" t="s">
        <v>2924</v>
      </c>
      <c r="R3" s="157" t="s">
        <v>2925</v>
      </c>
      <c r="S3" s="157" t="s">
        <v>2926</v>
      </c>
    </row>
    <row r="4">
      <c r="A4" s="157"/>
      <c r="B4" s="157"/>
      <c r="C4" s="157"/>
      <c r="D4" s="159"/>
      <c r="E4" s="159"/>
      <c r="F4" s="159"/>
      <c r="G4" s="157"/>
      <c r="H4" s="159"/>
      <c r="I4" s="159"/>
      <c r="J4" s="159"/>
      <c r="K4" s="159" t="n">
        <v>37</v>
      </c>
      <c r="L4" s="159" t="n">
        <v>4</v>
      </c>
      <c r="M4" s="159" t="n">
        <v>0</v>
      </c>
      <c r="N4" s="159" t="n">
        <v>927</v>
      </c>
      <c r="O4" s="159" t="n">
        <v>6</v>
      </c>
      <c r="P4" s="159" t="n">
        <v>2</v>
      </c>
      <c r="Q4" s="157"/>
      <c r="R4" s="157"/>
      <c r="S4" s="157"/>
    </row>
    <row r="5">
      <c r="A5" s="157" t="s">
        <v>2927</v>
      </c>
      <c r="B5" s="256" t="s">
        <v>2928</v>
      </c>
      <c r="C5" s="157" t="n">
        <v>1684</v>
      </c>
      <c r="D5" s="159" t="n">
        <v>16</v>
      </c>
      <c r="E5" s="159" t="n">
        <v>0</v>
      </c>
      <c r="F5" s="159" t="n">
        <v>7</v>
      </c>
      <c r="G5" s="157" t="n">
        <v>101</v>
      </c>
      <c r="H5" s="159" t="n">
        <v>4</v>
      </c>
      <c r="I5" s="159" t="n">
        <v>0</v>
      </c>
      <c r="J5" s="159" t="n">
        <v>1</v>
      </c>
      <c r="K5" s="159" t="n">
        <v>55</v>
      </c>
      <c r="L5" s="159" t="n">
        <v>6</v>
      </c>
      <c r="M5" s="159" t="n">
        <v>0</v>
      </c>
      <c r="N5" s="159" t="n">
        <v>2653</v>
      </c>
      <c r="O5" s="159" t="n">
        <v>14</v>
      </c>
      <c r="P5" s="159" t="n">
        <v>4</v>
      </c>
      <c r="Q5" s="157" t="s">
        <v>2929</v>
      </c>
      <c r="R5" s="157" t="s">
        <v>2930</v>
      </c>
      <c r="S5" s="157" t="s">
        <v>2931</v>
      </c>
    </row>
    <row r="6">
      <c r="A6" s="157"/>
      <c r="B6" s="157"/>
      <c r="C6" s="157"/>
      <c r="D6" s="159"/>
      <c r="E6" s="159"/>
      <c r="F6" s="159"/>
      <c r="G6" s="157"/>
      <c r="H6" s="159"/>
      <c r="I6" s="159"/>
      <c r="J6" s="159"/>
      <c r="K6" s="159" t="n">
        <v>158</v>
      </c>
      <c r="L6" s="159" t="n">
        <v>9</v>
      </c>
      <c r="M6" s="159" t="n">
        <v>2</v>
      </c>
      <c r="N6" s="159" t="n">
        <v>2130</v>
      </c>
      <c r="O6" s="159" t="n">
        <v>14</v>
      </c>
      <c r="P6" s="159" t="n">
        <v>1</v>
      </c>
      <c r="Q6" s="157"/>
      <c r="R6" s="157"/>
      <c r="S6" s="157"/>
    </row>
    <row r="7"/>
    <row r="8"/>
    <row r="9"/>
    <row r="10"/>
    <row r="11"/>
    <row r="12">
      <c r="J12" s="3" t="n">
        <v>91.3</v>
      </c>
    </row>
    <row r="13">
      <c r="J13" s="219" t="n">
        <v>91.3</v>
      </c>
    </row>
    <row r="14">
      <c r="I14" s="3"/>
      <c r="J14" s="219" t="n">
        <v>49.89</v>
      </c>
      <c r="K14" s="3"/>
      <c r="L14" s="3"/>
      <c r="M14" s="3"/>
    </row>
    <row r="15">
      <c r="I15" s="231" t="s">
        <v>2932</v>
      </c>
      <c r="J15" s="232" t="n">
        <v>11.8</v>
      </c>
      <c r="K15" s="232" t="n">
        <v>18.3</v>
      </c>
      <c r="L15" s="232" t="n">
        <v>871803</v>
      </c>
      <c r="M15" s="232" t="n">
        <v>870976</v>
      </c>
    </row>
    <row r="16">
      <c r="I16" s="231" t="s">
        <v>2933</v>
      </c>
      <c r="J16" s="232" t="n">
        <v>7.6</v>
      </c>
      <c r="K16" s="232" t="n">
        <v>16.7</v>
      </c>
      <c r="L16" s="232" t="n">
        <v>72741</v>
      </c>
      <c r="M16" s="232" t="n">
        <v>72584</v>
      </c>
    </row>
    <row r="17">
      <c r="I17" s="231" t="s">
        <v>2934</v>
      </c>
      <c r="J17" s="232" t="n">
        <v>25.69</v>
      </c>
      <c r="K17" s="232" t="n">
        <v>2.18</v>
      </c>
      <c r="L17" s="232" t="s">
        <v>2935</v>
      </c>
      <c r="M17" s="232" t="s">
        <v>2936</v>
      </c>
    </row>
    <row r="18">
      <c r="I18" s="231" t="s">
        <v>2937</v>
      </c>
      <c r="J18" s="232" t="n">
        <v>2.2</v>
      </c>
      <c r="K18" s="232" t="n">
        <v>8.2</v>
      </c>
      <c r="L18" s="232" t="n">
        <v>82355</v>
      </c>
      <c r="M18" s="232" t="n">
        <v>82290</v>
      </c>
    </row>
    <row r="19">
      <c r="I19" s="231" t="s">
        <v>2938</v>
      </c>
      <c r="J19" s="232" t="n">
        <v>0.2</v>
      </c>
      <c r="K19" s="232" t="n">
        <v>0.2</v>
      </c>
      <c r="L19" s="232" t="n">
        <v>7838</v>
      </c>
      <c r="M19" s="232" t="n">
        <v>7837</v>
      </c>
    </row>
    <row r="20">
      <c r="I20" s="231" t="s">
        <v>2939</v>
      </c>
      <c r="J20" s="232" t="n">
        <v>4.8</v>
      </c>
      <c r="K20" s="232" t="n">
        <v>16.6</v>
      </c>
      <c r="L20" s="232" t="s">
        <v>2940</v>
      </c>
      <c r="M20" s="232" t="s">
        <v>2941</v>
      </c>
    </row>
    <row r="21">
      <c r="I21" s="231" t="s">
        <v>2942</v>
      </c>
      <c r="J21" s="232" t="n">
        <v>180</v>
      </c>
      <c r="K21" s="232" t="n">
        <v>275</v>
      </c>
      <c r="L21" s="232" t="n">
        <v>5155</v>
      </c>
      <c r="M21" s="232" t="n">
        <v>5155</v>
      </c>
    </row>
    <row r="22">
      <c r="I22" s="232" t="s">
        <v>2943</v>
      </c>
      <c r="J22" s="232" t="n">
        <f>SUM(J13:J21)</f>
        <v>373.48</v>
      </c>
      <c r="K22" s="232" t="n">
        <f>SUM(K15:K21)</f>
        <v>337.18</v>
      </c>
      <c r="L22" s="232"/>
      <c r="M22" s="3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</sheetData>
  <mergeCells count="32">
    <mergeCell ref="A1:A2"/>
    <mergeCell ref="B1:B2"/>
    <mergeCell ref="C1:F1"/>
    <mergeCell ref="G1:J1"/>
    <mergeCell ref="K1:M1"/>
    <mergeCell ref="N1:P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Q3:Q4"/>
    <mergeCell ref="R3:R4"/>
    <mergeCell ref="S3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Q5:Q6"/>
    <mergeCell ref="R5:R6"/>
    <mergeCell ref="S5:S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1.7" customWidth="1"/>
    <col min="2" max="2" width="34.4" customWidth="1"/>
    <col min="3" max="16" width="8.73" customWidth="1"/>
    <col min="17" max="26" width="16.59" customWidth="1"/>
  </cols>
  <sheetData>
    <row r="1">
      <c r="A1" s="257" t="s">
        <v>2944</v>
      </c>
      <c r="B1" s="258" t="s">
        <v>2945</v>
      </c>
      <c r="C1" s="257" t="s">
        <v>2946</v>
      </c>
      <c r="D1" s="257"/>
      <c r="E1" s="257" t="s">
        <v>2947</v>
      </c>
      <c r="F1" s="257" t="s">
        <v>2948</v>
      </c>
      <c r="G1" s="257" t="s">
        <v>2949</v>
      </c>
      <c r="H1" s="257"/>
      <c r="I1" s="257"/>
      <c r="J1" s="257" t="s">
        <v>2950</v>
      </c>
      <c r="K1" s="257" t="s">
        <v>2951</v>
      </c>
      <c r="L1" s="257" t="s">
        <v>2952</v>
      </c>
      <c r="M1" s="257" t="s">
        <v>2953</v>
      </c>
      <c r="N1" s="257" t="s">
        <v>2954</v>
      </c>
      <c r="O1" s="257" t="s">
        <v>2955</v>
      </c>
      <c r="P1" s="257" t="s">
        <v>2956</v>
      </c>
      <c r="Q1" s="259"/>
      <c r="R1" s="259"/>
      <c r="S1" s="259"/>
      <c r="T1" s="259"/>
      <c r="U1" s="259"/>
      <c r="V1" s="259"/>
      <c r="W1" s="259"/>
      <c r="X1" s="259"/>
      <c r="Y1" s="259"/>
      <c r="Z1" s="259"/>
    </row>
    <row r="2">
      <c r="A2" s="257"/>
      <c r="B2" s="258" t="s">
        <v>2957</v>
      </c>
      <c r="C2" s="257" t="s">
        <v>2958</v>
      </c>
      <c r="D2" s="257" t="s">
        <v>2959</v>
      </c>
      <c r="E2" s="257" t="s">
        <v>2960</v>
      </c>
      <c r="F2" s="257" t="s">
        <v>2961</v>
      </c>
      <c r="G2" s="257" t="s">
        <v>2962</v>
      </c>
      <c r="H2" s="257" t="s">
        <v>2963</v>
      </c>
      <c r="I2" s="257" t="s">
        <v>2964</v>
      </c>
      <c r="J2" s="257" t="s">
        <v>2965</v>
      </c>
      <c r="K2" s="257" t="s">
        <v>2966</v>
      </c>
      <c r="L2" s="257" t="s">
        <v>2967</v>
      </c>
      <c r="M2" s="257" t="s">
        <v>2968</v>
      </c>
      <c r="N2" s="257" t="s">
        <v>2969</v>
      </c>
      <c r="O2" s="257" t="s">
        <v>2970</v>
      </c>
      <c r="P2" s="257"/>
      <c r="Q2" s="260" t="n">
        <v>8066</v>
      </c>
      <c r="R2" s="260" t="n">
        <v>203</v>
      </c>
      <c r="S2" s="260" t="n">
        <v>530949</v>
      </c>
      <c r="T2" s="260" t="n">
        <v>19491</v>
      </c>
      <c r="U2" s="260" t="n">
        <v>741</v>
      </c>
      <c r="V2" s="260" t="n">
        <v>139535</v>
      </c>
      <c r="W2" s="260" t="s">
        <v>2971</v>
      </c>
      <c r="X2" s="260" t="n">
        <v>661</v>
      </c>
      <c r="Y2" s="260" t="n">
        <v>1469</v>
      </c>
      <c r="Z2" s="260" t="n">
        <f>SUM(J2,L2,P2,S2,V2,W2,X2,Y2)</f>
        <v>672614</v>
      </c>
    </row>
    <row r="3">
      <c r="A3" s="261" t="n">
        <v>44504</v>
      </c>
      <c r="B3" s="262" t="s">
        <v>2972</v>
      </c>
      <c r="C3" s="260" t="n">
        <v>0</v>
      </c>
      <c r="D3" s="260" t="n">
        <v>0</v>
      </c>
      <c r="E3" s="260" t="n">
        <v>93</v>
      </c>
      <c r="F3" s="260" t="n">
        <v>3208</v>
      </c>
      <c r="G3" s="260" t="n">
        <v>12000</v>
      </c>
      <c r="H3" s="260" t="n">
        <v>26</v>
      </c>
      <c r="I3" s="260" t="n">
        <v>0.0022</v>
      </c>
      <c r="J3" s="263" t="n">
        <v>147000</v>
      </c>
      <c r="K3" s="260" t="s">
        <v>2973</v>
      </c>
      <c r="L3" s="260" t="n">
        <v>1088</v>
      </c>
      <c r="M3" s="260" t="n">
        <v>65</v>
      </c>
      <c r="N3" s="264" t="n">
        <v>1047</v>
      </c>
      <c r="O3" s="264" t="n">
        <v>790</v>
      </c>
      <c r="P3" s="265" t="n">
        <f>SUM(C3,E3,F3,G3,J3,K3,L3,M3,N3,O3)</f>
        <v>165291</v>
      </c>
      <c r="Q3" s="259"/>
      <c r="R3" s="259"/>
      <c r="S3" s="259"/>
      <c r="T3" s="259"/>
      <c r="U3" s="259"/>
      <c r="V3" s="259"/>
      <c r="W3" s="259"/>
      <c r="X3" s="259"/>
      <c r="Y3" s="259"/>
      <c r="Z3" s="259"/>
    </row>
    <row r="4">
      <c r="A4" s="261" t="n">
        <v>44503</v>
      </c>
      <c r="B4" s="262" t="s">
        <v>2974</v>
      </c>
      <c r="C4" s="260" t="n">
        <v>0</v>
      </c>
      <c r="D4" s="260" t="n">
        <v>0</v>
      </c>
      <c r="E4" s="260" t="n">
        <v>183</v>
      </c>
      <c r="F4" s="260" t="n">
        <v>17000</v>
      </c>
      <c r="G4" s="260" t="n">
        <v>4567</v>
      </c>
      <c r="H4" s="260" t="n">
        <v>6</v>
      </c>
      <c r="I4" s="260" t="n">
        <v>0.0013</v>
      </c>
      <c r="J4" s="263" t="n">
        <v>187352</v>
      </c>
      <c r="K4" s="266" t="s">
        <v>2975</v>
      </c>
      <c r="L4" s="260" t="n">
        <v>150</v>
      </c>
      <c r="M4" s="260" t="n">
        <v>651</v>
      </c>
      <c r="N4" s="264" t="n">
        <v>9397</v>
      </c>
      <c r="O4" s="264" t="n">
        <v>1373</v>
      </c>
      <c r="P4" s="267" t="s">
        <f>SUM(C4,E4,F4,G4,J4,K4,L4,M4,N4,O4)</f>
        <v>2976</v>
      </c>
      <c r="Q4" s="259"/>
      <c r="R4" s="259"/>
      <c r="S4" s="259"/>
      <c r="T4" s="259"/>
      <c r="U4" s="259"/>
      <c r="V4" s="259"/>
      <c r="W4" s="259"/>
      <c r="X4" s="259"/>
      <c r="Y4" s="259"/>
      <c r="Z4" s="259"/>
    </row>
    <row r="5">
      <c r="A5" s="261" t="n">
        <v>44502</v>
      </c>
      <c r="B5" s="262" t="s">
        <v>2977</v>
      </c>
      <c r="C5" s="260" t="n">
        <v>0</v>
      </c>
      <c r="D5" s="260" t="n">
        <v>0</v>
      </c>
      <c r="E5" s="260" t="n">
        <v>164</v>
      </c>
      <c r="F5" s="260" t="n">
        <v>25000</v>
      </c>
      <c r="G5" s="260" t="n">
        <v>37000</v>
      </c>
      <c r="H5" s="263" t="n">
        <v>587</v>
      </c>
      <c r="I5" s="260" t="n">
        <v>0.0159</v>
      </c>
      <c r="J5" s="263" t="n">
        <v>167210</v>
      </c>
      <c r="K5" s="266" t="s">
        <v>2978</v>
      </c>
      <c r="L5" s="260" t="n">
        <v>1641</v>
      </c>
      <c r="M5" s="260" t="n">
        <v>392</v>
      </c>
      <c r="N5" s="264" t="n">
        <v>1094</v>
      </c>
      <c r="O5" s="264" t="n">
        <v>954</v>
      </c>
      <c r="P5" s="267" t="s">
        <f>SUM(C5,E5,F5,G5,J5,K5,L5,M5,N5,O5)</f>
        <v>2979</v>
      </c>
      <c r="Q5" s="259"/>
      <c r="R5" s="259"/>
      <c r="S5" s="259"/>
      <c r="T5" s="259"/>
      <c r="U5" s="259"/>
      <c r="V5" s="259"/>
      <c r="W5" s="259"/>
      <c r="X5" s="259"/>
      <c r="Y5" s="259"/>
      <c r="Z5" s="259"/>
    </row>
    <row r="6">
      <c r="A6" s="261" t="n">
        <v>44502</v>
      </c>
      <c r="B6" s="262" t="s">
        <v>2980</v>
      </c>
      <c r="C6" s="260" t="n">
        <v>0</v>
      </c>
      <c r="D6" s="260" t="n">
        <v>0</v>
      </c>
      <c r="E6" s="260" t="n">
        <v>339</v>
      </c>
      <c r="F6" s="260" t="n">
        <v>2281</v>
      </c>
      <c r="G6" s="260" t="n">
        <v>3900</v>
      </c>
      <c r="H6" s="260" t="n">
        <v>2</v>
      </c>
      <c r="I6" s="260" t="n">
        <v>0.0005</v>
      </c>
      <c r="J6" s="263" t="n">
        <v>380917</v>
      </c>
      <c r="K6" s="266" t="s">
        <v>2981</v>
      </c>
      <c r="L6" s="260" t="n">
        <v>742</v>
      </c>
      <c r="M6" s="260" t="n">
        <v>552</v>
      </c>
      <c r="N6" s="264" t="n">
        <v>6354</v>
      </c>
      <c r="O6" s="264" t="n">
        <v>1497</v>
      </c>
      <c r="P6" s="267" t="s">
        <f>SUM(C6,E6,F6,G6,J6,K6,L6,M6,N6,O6)</f>
        <v>2982</v>
      </c>
      <c r="Q6" s="259"/>
      <c r="R6" s="259"/>
      <c r="S6" s="259"/>
      <c r="T6" s="259"/>
      <c r="U6" s="259"/>
      <c r="V6" s="259"/>
      <c r="W6" s="259"/>
      <c r="X6" s="259"/>
      <c r="Y6" s="259"/>
      <c r="Z6" s="259"/>
    </row>
    <row r="7">
      <c r="A7" s="261" t="n">
        <v>44501</v>
      </c>
      <c r="B7" s="262" t="s">
        <v>2983</v>
      </c>
      <c r="C7" s="260" t="n">
        <v>0</v>
      </c>
      <c r="D7" s="260" t="n">
        <v>0</v>
      </c>
      <c r="E7" s="260" t="n">
        <v>329</v>
      </c>
      <c r="F7" s="260" t="n">
        <v>22000</v>
      </c>
      <c r="G7" s="260" t="n">
        <v>3692</v>
      </c>
      <c r="H7" s="260" t="n">
        <v>4</v>
      </c>
      <c r="I7" s="260" t="n">
        <v>0.0011</v>
      </c>
      <c r="J7" s="263" t="n">
        <v>186017</v>
      </c>
      <c r="K7" s="266" t="s">
        <v>2984</v>
      </c>
      <c r="L7" s="260" t="n">
        <v>1798</v>
      </c>
      <c r="M7" s="260" t="n">
        <v>201</v>
      </c>
      <c r="N7" s="264" t="n">
        <v>1098</v>
      </c>
      <c r="O7" s="264" t="n">
        <v>1223</v>
      </c>
      <c r="P7" s="267" t="s">
        <f>SUM(C7,E7,F7,G7,J7,K7,L7,M7,N7,O7)</f>
        <v>2985</v>
      </c>
      <c r="Q7" s="259"/>
      <c r="R7" s="259"/>
      <c r="S7" s="259"/>
      <c r="T7" s="259"/>
      <c r="U7" s="259"/>
      <c r="V7" s="259"/>
      <c r="W7" s="259"/>
      <c r="X7" s="259"/>
      <c r="Y7" s="259"/>
      <c r="Z7" s="259"/>
    </row>
    <row r="8">
      <c r="A8" s="261" t="n">
        <v>44498</v>
      </c>
      <c r="B8" s="262" t="s">
        <v>2986</v>
      </c>
      <c r="C8" s="260" t="n">
        <v>0</v>
      </c>
      <c r="D8" s="260" t="n">
        <v>0</v>
      </c>
      <c r="E8" s="260" t="n">
        <v>343</v>
      </c>
      <c r="F8" s="260" t="n">
        <v>23000</v>
      </c>
      <c r="G8" s="263" t="n">
        <v>122000</v>
      </c>
      <c r="H8" s="263" t="n">
        <v>550</v>
      </c>
      <c r="I8" s="260" t="n">
        <v>0.0045</v>
      </c>
      <c r="J8" s="260" t="n">
        <v>5761</v>
      </c>
      <c r="K8" s="266" t="s">
        <v>2987</v>
      </c>
      <c r="L8" s="260" t="n">
        <v>8749</v>
      </c>
      <c r="M8" s="260" t="n">
        <v>368</v>
      </c>
      <c r="N8" s="264" t="n">
        <v>545</v>
      </c>
      <c r="O8" s="264" t="n">
        <v>2175</v>
      </c>
      <c r="P8" s="267" t="s">
        <f>SUM(C8,E8,F8,G8,J8,K8,L8,M8,N8,O8)</f>
        <v>2988</v>
      </c>
      <c r="Q8" s="259"/>
      <c r="R8" s="259"/>
      <c r="S8" s="259"/>
      <c r="T8" s="259"/>
      <c r="U8" s="259"/>
      <c r="V8" s="259"/>
      <c r="W8" s="259"/>
      <c r="X8" s="259"/>
      <c r="Y8" s="259"/>
      <c r="Z8" s="259"/>
    </row>
    <row r="9">
      <c r="A9" s="261" t="n">
        <v>44491</v>
      </c>
      <c r="B9" s="268" t="s">
        <v>2989</v>
      </c>
      <c r="C9" s="260" t="n">
        <v>42000</v>
      </c>
      <c r="D9" s="260" t="n">
        <v>1961</v>
      </c>
      <c r="E9" s="260" t="n">
        <v>3237</v>
      </c>
      <c r="F9" s="260" t="n">
        <v>0</v>
      </c>
      <c r="G9" s="260" t="s">
        <f>SUM(C9,D9,E9,#REF!,#REF!,#REF!,F9,#REF!,#REF!,#REF!)</f>
        <v>2990</v>
      </c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59"/>
      <c r="U9" s="259"/>
      <c r="V9" s="259"/>
      <c r="W9" s="259"/>
      <c r="X9" s="259"/>
      <c r="Y9" s="259"/>
      <c r="Z9" s="259"/>
    </row>
    <row r="10">
      <c r="A10" s="261" t="n">
        <v>44463</v>
      </c>
      <c r="B10" s="268" t="s">
        <v>2991</v>
      </c>
      <c r="C10" s="260" t="n">
        <v>3221</v>
      </c>
      <c r="D10" s="260" t="n">
        <v>132</v>
      </c>
      <c r="E10" s="260" t="n">
        <v>4231</v>
      </c>
      <c r="F10" s="260" t="n">
        <v>503</v>
      </c>
      <c r="G10" s="260" t="s">
        <f>SUM(C10,D10,E10,#REF!,#REF!,#REF!,F10,#REF!,#REF!,#REF!)</f>
        <v>2992</v>
      </c>
      <c r="H10" s="269" t="n">
        <v>43.3</v>
      </c>
      <c r="I10" s="269" t="n">
        <v>6.1</v>
      </c>
      <c r="J10" s="269" t="n">
        <v>5155</v>
      </c>
      <c r="K10" s="259"/>
      <c r="L10" s="259"/>
      <c r="M10" s="259"/>
      <c r="N10" s="259"/>
      <c r="O10" s="259"/>
      <c r="P10" s="259"/>
      <c r="Q10" s="259"/>
      <c r="R10" s="259"/>
      <c r="S10" s="259"/>
      <c r="T10" s="259"/>
      <c r="U10" s="259"/>
      <c r="V10" s="259"/>
      <c r="W10" s="259"/>
      <c r="X10" s="259"/>
      <c r="Y10" s="259"/>
      <c r="Z10" s="259"/>
    </row>
    <row r="11">
      <c r="A11" s="261" t="n">
        <v>44477</v>
      </c>
      <c r="B11" s="268" t="s">
        <v>2993</v>
      </c>
      <c r="C11" s="260" t="n">
        <v>2973</v>
      </c>
      <c r="D11" s="260" t="n">
        <v>131</v>
      </c>
      <c r="E11" s="260" t="n">
        <v>3090</v>
      </c>
      <c r="F11" s="260" t="n">
        <v>586</v>
      </c>
      <c r="G11" s="260" t="s">
        <f>SUM(C11,D11,E11,#REF!,#REF!,#REF!,F11,#REF!,#REF!,#REF!)</f>
        <v>2994</v>
      </c>
      <c r="H11" s="269" t="n">
        <v>354</v>
      </c>
      <c r="I11" s="269" t="s">
        <v>2995</v>
      </c>
      <c r="J11" s="269" t="s">
        <v>2996</v>
      </c>
      <c r="K11" s="259"/>
      <c r="L11" s="259"/>
      <c r="M11" s="259"/>
      <c r="N11" s="259"/>
      <c r="O11" s="259"/>
      <c r="P11" s="259"/>
      <c r="Q11" s="259"/>
      <c r="R11" s="259"/>
      <c r="S11" s="259"/>
      <c r="T11" s="259"/>
      <c r="U11" s="259"/>
      <c r="V11" s="259"/>
      <c r="W11" s="259"/>
      <c r="X11" s="259"/>
      <c r="Y11" s="259"/>
      <c r="Z11" s="259"/>
    </row>
    <row r="12">
      <c r="A12" s="261" t="n">
        <v>44468</v>
      </c>
      <c r="B12" s="268" t="s">
        <v>2997</v>
      </c>
      <c r="C12" s="260" t="n">
        <v>3252</v>
      </c>
      <c r="D12" s="260" t="n">
        <v>151</v>
      </c>
      <c r="E12" s="260" t="n">
        <v>3509</v>
      </c>
      <c r="F12" s="260" t="n">
        <v>5354</v>
      </c>
      <c r="G12" s="260" t="s">
        <f>SUM(C12,D12,E12,#REF!,#REF!,#REF!,F12,#REF!,#REF!,#REF!)</f>
        <v>2998</v>
      </c>
      <c r="H12" s="269" t="n">
        <v>30.5</v>
      </c>
      <c r="I12" s="269" t="n">
        <v>12</v>
      </c>
      <c r="J12" s="269" t="s">
        <v>2999</v>
      </c>
      <c r="K12" s="259"/>
      <c r="L12" s="259"/>
      <c r="M12" s="259"/>
      <c r="N12" s="259"/>
      <c r="O12" s="259"/>
      <c r="P12" s="259"/>
      <c r="Q12" s="259"/>
      <c r="R12" s="259"/>
      <c r="S12" s="259"/>
      <c r="T12" s="259"/>
      <c r="U12" s="259"/>
      <c r="V12" s="259"/>
      <c r="W12" s="259"/>
      <c r="X12" s="259"/>
      <c r="Y12" s="259"/>
      <c r="Z12" s="259"/>
    </row>
    <row r="13">
      <c r="A13" s="261" t="n">
        <v>44469</v>
      </c>
      <c r="B13" s="268" t="s">
        <v>3000</v>
      </c>
      <c r="C13" s="260" t="n">
        <v>4014</v>
      </c>
      <c r="D13" s="260" t="n">
        <v>18000</v>
      </c>
      <c r="E13" s="260" t="n">
        <v>3247</v>
      </c>
      <c r="F13" s="260" t="n">
        <v>405</v>
      </c>
      <c r="G13" s="260" t="s">
        <f>SUM(C13,D13,E13,#REF!,#REF!,#REF!,F13,#REF!,#REF!,#REF!)</f>
        <v>3001</v>
      </c>
      <c r="H13" s="269" t="n">
        <v>30.5</v>
      </c>
      <c r="I13" s="269" t="n">
        <v>3.5</v>
      </c>
      <c r="J13" s="269" t="n">
        <v>72174</v>
      </c>
      <c r="K13" s="259"/>
      <c r="L13" s="259"/>
      <c r="M13" s="259"/>
      <c r="N13" s="259"/>
      <c r="O13" s="259"/>
      <c r="P13" s="259"/>
      <c r="Q13" s="259"/>
      <c r="R13" s="259"/>
      <c r="S13" s="259"/>
      <c r="T13" s="259"/>
      <c r="U13" s="259"/>
      <c r="V13" s="259"/>
      <c r="W13" s="259"/>
      <c r="X13" s="259"/>
      <c r="Y13" s="259"/>
      <c r="Z13" s="259"/>
    </row>
    <row r="14">
      <c r="A14" s="261" t="n">
        <v>44478</v>
      </c>
      <c r="B14" s="268" t="s">
        <v>3002</v>
      </c>
      <c r="C14" s="260" t="n">
        <v>2512</v>
      </c>
      <c r="D14" s="260" t="n">
        <v>174</v>
      </c>
      <c r="E14" s="260" t="n">
        <v>7694</v>
      </c>
      <c r="F14" s="260" t="n">
        <v>750</v>
      </c>
      <c r="G14" s="260" t="s">
        <f>SUM(C14,D14,E14,#REF!,#REF!,#REF!,F14,#REF!,#REF!,#REF!)</f>
        <v>3003</v>
      </c>
      <c r="H14" s="227" t="n">
        <v>93.9</v>
      </c>
      <c r="I14" s="227"/>
      <c r="J14" s="227" t="s">
        <v>3004</v>
      </c>
      <c r="K14" s="259"/>
      <c r="L14" s="259"/>
      <c r="M14" s="259"/>
      <c r="N14" s="259"/>
      <c r="O14" s="259"/>
      <c r="P14" s="259"/>
      <c r="Q14" s="259"/>
      <c r="R14" s="259"/>
      <c r="S14" s="259"/>
      <c r="T14" s="259"/>
      <c r="U14" s="259"/>
      <c r="V14" s="259"/>
      <c r="W14" s="259"/>
      <c r="X14" s="259"/>
      <c r="Y14" s="259"/>
      <c r="Z14" s="259"/>
    </row>
    <row r="15">
      <c r="A15" s="261" t="n">
        <v>44490</v>
      </c>
      <c r="B15" s="262" t="s">
        <v>3005</v>
      </c>
      <c r="C15" s="260" t="n">
        <v>14000</v>
      </c>
      <c r="D15" s="260" t="n">
        <v>113</v>
      </c>
      <c r="E15" s="260" t="n">
        <v>15000</v>
      </c>
      <c r="F15" s="260" t="n">
        <v>879</v>
      </c>
      <c r="G15" s="260" t="s">
        <f>SUM(C15,D15,E15,#REF!,#REF!,#REF!,F15,#REF!,#REF!,#REF!)</f>
        <v>3006</v>
      </c>
      <c r="H15" s="262" t="s">
        <v>3007</v>
      </c>
      <c r="I15" s="260" t="n">
        <v>11000</v>
      </c>
      <c r="J15" s="260" t="n">
        <v>132</v>
      </c>
      <c r="K15" s="260" t="n">
        <v>0</v>
      </c>
      <c r="L15" s="260" t="n">
        <v>3847</v>
      </c>
      <c r="M15" s="260" t="n">
        <v>31</v>
      </c>
      <c r="N15" s="260" t="n">
        <v>1</v>
      </c>
      <c r="O15" s="260" t="n">
        <v>22</v>
      </c>
      <c r="P15" s="260" t="n">
        <v>81000</v>
      </c>
      <c r="Q15" s="260" t="n">
        <v>144</v>
      </c>
      <c r="R15" s="260" t="n">
        <v>2</v>
      </c>
      <c r="S15" s="260" t="n">
        <v>21703</v>
      </c>
      <c r="T15" s="260" t="n">
        <v>65</v>
      </c>
      <c r="U15" s="260" t="n">
        <v>1</v>
      </c>
      <c r="V15" s="260" t="n">
        <v>503</v>
      </c>
      <c r="W15" s="260" t="n">
        <v>16</v>
      </c>
      <c r="X15" s="260" t="n">
        <v>4260</v>
      </c>
      <c r="Y15" s="260" t="n">
        <v>1416</v>
      </c>
      <c r="Z15" s="260" t="n">
        <f>SUM(J15,L15,P15,S15,V15,W15,X15,Y15)</f>
        <v>112877</v>
      </c>
    </row>
    <row r="16">
      <c r="A16" s="261" t="n">
        <v>44482</v>
      </c>
      <c r="B16" s="268" t="s">
        <v>3008</v>
      </c>
      <c r="C16" s="260" t="n">
        <v>5760</v>
      </c>
      <c r="D16" s="260" t="n">
        <v>143</v>
      </c>
      <c r="E16" s="260" t="n">
        <v>5515</v>
      </c>
      <c r="F16" s="260" t="n">
        <v>302</v>
      </c>
      <c r="G16" s="260" t="s">
        <f>SUM(C16,D16,E16,#REF!,#REF!,#REF!,F16,#REF!,#REF!,#REF!)</f>
        <v>3009</v>
      </c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</row>
    <row r="17">
      <c r="A17" s="261" t="n">
        <v>44480</v>
      </c>
      <c r="B17" s="151" t="s">
        <v>3010</v>
      </c>
      <c r="C17" s="266" t="s">
        <v>3011</v>
      </c>
      <c r="D17" s="260" t="n">
        <v>5353</v>
      </c>
      <c r="E17" s="260" t="n">
        <v>5412</v>
      </c>
      <c r="F17" s="260" t="n">
        <v>2393</v>
      </c>
      <c r="G17" s="260" t="s">
        <f>SUM(C17,D17,E17,#REF!,#REF!,#REF!,F17,#REF!,#REF!,#REF!)</f>
        <v>3012</v>
      </c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</row>
    <row r="18">
      <c r="A18" s="261" t="n">
        <v>44483</v>
      </c>
      <c r="B18" s="151" t="s">
        <v>3013</v>
      </c>
      <c r="C18" s="260" t="n">
        <v>0</v>
      </c>
      <c r="D18" s="260" t="n">
        <v>89</v>
      </c>
      <c r="E18" s="260" t="n">
        <v>1187</v>
      </c>
      <c r="F18" s="260" t="n">
        <v>1083</v>
      </c>
      <c r="G18" s="260" t="s">
        <f>SUM(C18,D18,E18,#REF!,#REF!,#REF!,F18,#REF!,#REF!,#REF!)</f>
        <v>3014</v>
      </c>
      <c r="H18" s="259"/>
      <c r="I18" s="259"/>
      <c r="J18" s="259"/>
      <c r="K18" s="259"/>
      <c r="L18" s="259"/>
      <c r="M18" s="259"/>
      <c r="N18" s="259"/>
      <c r="O18" s="259"/>
      <c r="P18" s="259"/>
      <c r="Q18" s="259"/>
      <c r="R18" s="259"/>
      <c r="S18" s="259"/>
      <c r="T18" s="259"/>
      <c r="U18" s="259"/>
      <c r="V18" s="259"/>
      <c r="W18" s="259"/>
      <c r="X18" s="259"/>
      <c r="Y18" s="259"/>
      <c r="Z18" s="259"/>
    </row>
    <row r="19">
      <c r="A19" s="261" t="n">
        <v>44484</v>
      </c>
      <c r="B19" s="268" t="s">
        <v>3015</v>
      </c>
      <c r="C19" s="260" t="n">
        <v>3046</v>
      </c>
      <c r="D19" s="260" t="n">
        <v>137</v>
      </c>
      <c r="E19" s="260" t="n">
        <v>14000</v>
      </c>
      <c r="F19" s="260" t="n">
        <v>3452</v>
      </c>
      <c r="G19" s="260" t="s">
        <f>SUM(C19,D19,E19,#REF!,#REF!,#REF!,F19,#REF!,#REF!,#REF!)</f>
        <v>3016</v>
      </c>
      <c r="H19" s="259"/>
      <c r="I19" s="259"/>
      <c r="J19" s="259"/>
      <c r="K19" s="259"/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  <c r="X19" s="259"/>
      <c r="Y19" s="259"/>
      <c r="Z19" s="259"/>
    </row>
    <row r="20">
      <c r="A20" s="261" t="n">
        <v>44481</v>
      </c>
      <c r="B20" s="268" t="s">
        <v>3017</v>
      </c>
      <c r="C20" s="260" t="n">
        <v>3213</v>
      </c>
      <c r="D20" s="260" t="n">
        <v>165</v>
      </c>
      <c r="E20" s="260" t="n">
        <v>3733</v>
      </c>
      <c r="F20" s="260" t="n">
        <v>8302</v>
      </c>
      <c r="G20" s="260" t="s">
        <f>SUM(C20,D20,E20,#REF!,#REF!,#REF!,F20,#REF!,#REF!,#REF!)</f>
        <v>3018</v>
      </c>
      <c r="H20" s="270" t="s">
        <v>3019</v>
      </c>
      <c r="I20" s="270" t="s">
        <v>3020</v>
      </c>
      <c r="J20" s="259"/>
      <c r="K20" s="259"/>
      <c r="L20" s="259"/>
      <c r="M20" s="259"/>
      <c r="N20" s="259"/>
      <c r="O20" s="259"/>
      <c r="P20" s="259"/>
      <c r="Q20" s="259"/>
      <c r="R20" s="259"/>
      <c r="S20" s="259"/>
      <c r="T20" s="259"/>
      <c r="U20" s="259"/>
      <c r="V20" s="259"/>
      <c r="W20" s="259"/>
      <c r="X20" s="259"/>
      <c r="Y20" s="259"/>
      <c r="Z20" s="259"/>
    </row>
    <row r="21">
      <c r="A21" s="261" t="n">
        <v>44467</v>
      </c>
      <c r="B21" s="268" t="s">
        <v>3021</v>
      </c>
      <c r="C21" s="260" t="n">
        <v>2855</v>
      </c>
      <c r="D21" s="260" t="n">
        <v>139</v>
      </c>
      <c r="E21" s="260" t="n">
        <v>5190</v>
      </c>
      <c r="F21" s="260" t="n">
        <v>2358</v>
      </c>
      <c r="G21" s="260" t="s">
        <f>SUM(C21,D21,E21,#REF!,#REF!,#REF!,F21,#REF!,#REF!,#REF!)</f>
        <v>3022</v>
      </c>
      <c r="H21" s="269" t="n">
        <v>2.7</v>
      </c>
      <c r="I21" s="269" t="n">
        <v>2.4</v>
      </c>
      <c r="J21" s="269" t="n">
        <v>82227</v>
      </c>
      <c r="K21" s="259"/>
      <c r="L21" s="259"/>
      <c r="M21" s="259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59"/>
      <c r="Z21" s="259"/>
    </row>
    <row r="22">
      <c r="A22" s="261" t="n">
        <v>44469</v>
      </c>
      <c r="B22" s="151" t="s">
        <v>3023</v>
      </c>
      <c r="C22" s="260" t="n">
        <v>0</v>
      </c>
      <c r="D22" s="260" t="n">
        <v>205</v>
      </c>
      <c r="E22" s="260" t="n">
        <v>7260</v>
      </c>
      <c r="F22" s="260" t="n">
        <v>3153</v>
      </c>
      <c r="G22" s="260" t="s">
        <f>SUM(C22,D22,E22,#REF!,#REF!,#REF!,F22,#REF!,#REF!,#REF!)</f>
        <v>3024</v>
      </c>
      <c r="H22" s="269" t="n">
        <v>7.2</v>
      </c>
      <c r="I22" s="269" t="n">
        <v>6.2</v>
      </c>
      <c r="J22" s="269" t="n">
        <v>866947</v>
      </c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</row>
    <row r="23">
      <c r="A23" s="3"/>
      <c r="B23" s="190"/>
      <c r="C23" s="3"/>
      <c r="D23" s="3"/>
    </row>
    <row r="24">
      <c r="A24" s="3"/>
      <c r="B24" s="190"/>
      <c r="C24" s="3"/>
      <c r="D24" s="3"/>
    </row>
    <row r="25">
      <c r="A25" s="3"/>
      <c r="B25" s="190"/>
      <c r="C25" s="3"/>
      <c r="D25" s="3"/>
    </row>
  </sheetData>
  <mergeCells count="3">
    <mergeCell ref="A1:A2"/>
    <mergeCell ref="N1:N2"/>
    <mergeCell ref="P1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3.1" customWidth="1"/>
    <col min="2" max="2" width="36.49" customWidth="1"/>
    <col min="3" max="6" width="9.6" customWidth="1"/>
    <col min="7" max="7" width="7.16" customWidth="1"/>
    <col min="8" max="8" width="13.27" customWidth="1"/>
    <col min="9" max="13" width="9.6" customWidth="1"/>
    <col min="14" max="14" width="37.89" customWidth="1"/>
    <col min="15" max="37" width="16.59" customWidth="1"/>
  </cols>
  <sheetData>
    <row r="1">
      <c r="A1" s="271" t="s">
        <v>3025</v>
      </c>
      <c r="B1" s="272" t="s">
        <v>3026</v>
      </c>
      <c r="C1" s="273" t="s">
        <v>3027</v>
      </c>
      <c r="D1" s="273" t="s">
        <v>3028</v>
      </c>
      <c r="E1" s="273" t="s">
        <v>3029</v>
      </c>
      <c r="F1" s="274" t="s">
        <v>3030</v>
      </c>
      <c r="G1" s="275" t="s">
        <v>3031</v>
      </c>
      <c r="H1" s="275" t="s">
        <v>3032</v>
      </c>
      <c r="I1" s="275" t="s">
        <v>3033</v>
      </c>
      <c r="J1" s="276" t="s">
        <v>3034</v>
      </c>
      <c r="K1" s="276"/>
      <c r="L1" s="276"/>
      <c r="M1" s="276"/>
      <c r="N1" s="276" t="s">
        <v>3035</v>
      </c>
      <c r="O1" s="276"/>
      <c r="P1" s="276"/>
      <c r="Q1" s="276"/>
      <c r="R1" s="276"/>
      <c r="S1" s="277" t="s">
        <v>3036</v>
      </c>
      <c r="T1" s="277"/>
      <c r="U1" s="277"/>
      <c r="V1" s="277"/>
      <c r="W1" s="278" t="s">
        <v>3037</v>
      </c>
      <c r="X1" s="278"/>
      <c r="Y1" s="278" t="s">
        <v>3038</v>
      </c>
      <c r="Z1" s="278" t="s">
        <v>3039</v>
      </c>
      <c r="AA1" s="278" t="s">
        <v>3040</v>
      </c>
      <c r="AB1" s="278" t="s">
        <v>3041</v>
      </c>
      <c r="AC1" s="278" t="s">
        <v>3042</v>
      </c>
      <c r="AD1" s="279" t="s">
        <v>3043</v>
      </c>
      <c r="AE1" s="279" t="s">
        <v>3044</v>
      </c>
      <c r="AF1" s="280"/>
      <c r="AG1" s="281"/>
    </row>
    <row r="2" ht="21" customHeight="1">
      <c r="A2" s="271"/>
      <c r="B2" s="282" t="s">
        <v>3045</v>
      </c>
      <c r="C2" s="275" t="s">
        <v>3046</v>
      </c>
      <c r="D2" s="275" t="s">
        <v>3047</v>
      </c>
      <c r="E2" s="275" t="s">
        <v>3048</v>
      </c>
      <c r="F2" s="275" t="s">
        <v>3049</v>
      </c>
      <c r="G2" s="275" t="s">
        <v>3050</v>
      </c>
      <c r="H2" s="275" t="s">
        <v>3051</v>
      </c>
      <c r="I2" s="275" t="s">
        <v>3052</v>
      </c>
      <c r="J2" s="277" t="s">
        <v>3053</v>
      </c>
      <c r="K2" s="276" t="s">
        <v>3054</v>
      </c>
      <c r="L2" s="276" t="s">
        <v>3055</v>
      </c>
      <c r="M2" s="276" t="s">
        <v>3056</v>
      </c>
      <c r="N2" s="277" t="s">
        <v>3057</v>
      </c>
      <c r="O2" s="276" t="s">
        <v>3058</v>
      </c>
      <c r="P2" s="276" t="s">
        <v>3059</v>
      </c>
      <c r="Q2" s="276" t="s">
        <v>3060</v>
      </c>
      <c r="R2" s="276" t="s">
        <v>3061</v>
      </c>
      <c r="S2" s="277" t="s">
        <v>3062</v>
      </c>
      <c r="T2" s="276" t="s">
        <v>3063</v>
      </c>
      <c r="U2" s="277" t="s">
        <v>3064</v>
      </c>
      <c r="V2" s="277" t="s">
        <v>3065</v>
      </c>
      <c r="W2" s="277" t="s">
        <v>3066</v>
      </c>
      <c r="X2" s="277" t="s">
        <v>3067</v>
      </c>
      <c r="Y2" s="277" t="s">
        <v>3068</v>
      </c>
      <c r="Z2" s="277" t="s">
        <v>3069</v>
      </c>
      <c r="AA2" s="277" t="s">
        <v>3070</v>
      </c>
      <c r="AB2" s="277" t="s">
        <v>3071</v>
      </c>
      <c r="AC2" s="277" t="s">
        <v>3072</v>
      </c>
      <c r="AD2" s="279" t="s">
        <v>3073</v>
      </c>
      <c r="AE2" s="279"/>
      <c r="AF2" s="280"/>
      <c r="AG2" s="281"/>
    </row>
    <row r="3" ht="25.5" customHeight="1">
      <c r="A3" s="283" t="n">
        <v>44502</v>
      </c>
      <c r="B3" s="148" t="s">
        <v>3074</v>
      </c>
      <c r="C3" s="284" t="n">
        <v>339</v>
      </c>
      <c r="D3" s="284" t="n">
        <v>2281</v>
      </c>
      <c r="E3" s="284" t="n">
        <v>3900</v>
      </c>
      <c r="F3" s="285" t="n">
        <v>380917</v>
      </c>
      <c r="G3" s="284" t="n">
        <v>742</v>
      </c>
      <c r="H3" s="284" t="n">
        <v>552</v>
      </c>
      <c r="I3" s="284" t="n">
        <v>6354</v>
      </c>
      <c r="J3" s="286" t="n">
        <v>2281</v>
      </c>
      <c r="K3" s="287" t="n">
        <v>44</v>
      </c>
      <c r="L3" s="287" t="n">
        <v>6</v>
      </c>
      <c r="M3" s="287" t="n">
        <v>50</v>
      </c>
      <c r="N3" s="288" t="n">
        <v>3900</v>
      </c>
      <c r="O3" s="287" t="n">
        <v>44</v>
      </c>
      <c r="P3" s="287" t="n">
        <v>2</v>
      </c>
      <c r="Q3" s="288" t="n">
        <v>2</v>
      </c>
      <c r="R3" s="289" t="n">
        <v>0.0005</v>
      </c>
      <c r="S3" s="288" t="n">
        <v>380917</v>
      </c>
      <c r="T3" s="287" t="n">
        <v>541</v>
      </c>
      <c r="U3" s="288" t="n">
        <v>28</v>
      </c>
      <c r="V3" s="288"/>
      <c r="W3" s="288"/>
      <c r="X3" s="288"/>
      <c r="Y3" s="288" t="n">
        <v>39</v>
      </c>
      <c r="Z3" s="288" t="n">
        <v>742</v>
      </c>
      <c r="AA3" s="288" t="n">
        <v>552</v>
      </c>
      <c r="AB3" s="288" t="n">
        <v>6354</v>
      </c>
      <c r="AC3" s="288"/>
      <c r="AD3" s="290" t="n">
        <v>1497</v>
      </c>
      <c r="AE3" s="291"/>
      <c r="AF3" s="292"/>
      <c r="AG3" s="281"/>
    </row>
    <row r="4" ht="25.5" customHeight="1">
      <c r="A4" s="283" t="n">
        <v>44491</v>
      </c>
      <c r="B4" s="148" t="s">
        <v>3075</v>
      </c>
      <c r="C4" s="284" t="n">
        <v>6642</v>
      </c>
      <c r="D4" s="284" t="n">
        <v>7678</v>
      </c>
      <c r="E4" s="285" t="n">
        <v>100000</v>
      </c>
      <c r="F4" s="285" t="n">
        <v>649000</v>
      </c>
      <c r="G4" s="284" t="n">
        <v>17115</v>
      </c>
      <c r="H4" s="284" t="n">
        <v>14000</v>
      </c>
      <c r="I4" s="284" t="n">
        <v>22000</v>
      </c>
      <c r="J4" s="286" t="n">
        <v>7678</v>
      </c>
      <c r="K4" s="287" t="n">
        <v>163</v>
      </c>
      <c r="L4" s="287" t="n">
        <v>17</v>
      </c>
      <c r="M4" s="287" t="n">
        <v>167</v>
      </c>
      <c r="N4" s="288" t="n">
        <v>100000</v>
      </c>
      <c r="O4" s="287" t="n">
        <v>2400</v>
      </c>
      <c r="P4" s="287" t="n">
        <v>84</v>
      </c>
      <c r="Q4" s="287"/>
      <c r="R4" s="287"/>
      <c r="S4" s="288" t="n">
        <v>649000</v>
      </c>
      <c r="T4" s="287" t="n">
        <v>880</v>
      </c>
      <c r="U4" s="288" t="n">
        <v>38</v>
      </c>
      <c r="V4" s="288"/>
      <c r="W4" s="288"/>
      <c r="X4" s="288"/>
      <c r="Y4" s="288" t="n">
        <v>139</v>
      </c>
      <c r="Z4" s="288" t="n">
        <v>17115</v>
      </c>
      <c r="AA4" s="288" t="n">
        <v>14000</v>
      </c>
      <c r="AB4" s="288" t="n">
        <v>22000</v>
      </c>
      <c r="AC4" s="288"/>
      <c r="AD4" s="290" t="n">
        <v>1660</v>
      </c>
      <c r="AE4" s="291"/>
      <c r="AF4" s="292"/>
      <c r="AG4" s="281"/>
    </row>
    <row r="5" ht="25.5" customHeight="1">
      <c r="A5" s="283" t="n">
        <v>44449</v>
      </c>
      <c r="B5" s="148" t="s">
        <v>3076</v>
      </c>
      <c r="C5" s="284" t="n">
        <v>17000</v>
      </c>
      <c r="D5" s="284" t="n">
        <v>6106</v>
      </c>
      <c r="E5" s="284" t="n">
        <v>4800</v>
      </c>
      <c r="F5" s="285" t="n">
        <v>116173</v>
      </c>
      <c r="G5" s="293" t="n">
        <v>24839</v>
      </c>
      <c r="H5" s="293" t="n">
        <v>269</v>
      </c>
      <c r="I5" s="284" t="n">
        <v>2465</v>
      </c>
      <c r="J5" s="286" t="n">
        <v>6106</v>
      </c>
      <c r="K5" s="287" t="n">
        <v>22</v>
      </c>
      <c r="L5" s="287" t="n">
        <v>1</v>
      </c>
      <c r="M5" s="287" t="n">
        <v>26</v>
      </c>
      <c r="N5" s="288" t="n">
        <v>4800</v>
      </c>
      <c r="O5" s="287" t="n">
        <v>42</v>
      </c>
      <c r="P5" s="287" t="n">
        <v>2</v>
      </c>
      <c r="Q5" s="287"/>
      <c r="R5" s="287"/>
      <c r="S5" s="294" t="n">
        <v>116173</v>
      </c>
      <c r="T5" s="287" t="n">
        <v>188</v>
      </c>
      <c r="U5" s="288" t="n">
        <v>7</v>
      </c>
      <c r="V5" s="288"/>
      <c r="W5" s="288"/>
      <c r="X5" s="288"/>
      <c r="Y5" s="288" t="n">
        <v>510</v>
      </c>
      <c r="Z5" s="295" t="n">
        <v>24839</v>
      </c>
      <c r="AA5" s="295" t="n">
        <v>269</v>
      </c>
      <c r="AB5" s="296" t="n">
        <v>2465</v>
      </c>
      <c r="AC5" s="296"/>
      <c r="AD5" s="290" t="n">
        <v>3008</v>
      </c>
      <c r="AE5" s="291"/>
      <c r="AF5" s="292"/>
      <c r="AG5" s="281"/>
    </row>
    <row r="6" ht="25.5" customHeight="1">
      <c r="A6" s="283" t="n">
        <v>44421</v>
      </c>
      <c r="B6" s="148" t="s">
        <v>3077</v>
      </c>
      <c r="C6" s="285" t="n">
        <v>264000</v>
      </c>
      <c r="D6" s="284" t="n">
        <v>9520</v>
      </c>
      <c r="E6" s="284" t="n">
        <v>6800</v>
      </c>
      <c r="F6" s="284" t="n">
        <v>22620</v>
      </c>
      <c r="G6" s="293" t="n">
        <v>506721</v>
      </c>
      <c r="H6" s="293" t="n">
        <v>127000</v>
      </c>
      <c r="I6" s="284" t="s">
        <v>3078</v>
      </c>
      <c r="J6" s="286" t="n">
        <v>9520</v>
      </c>
      <c r="K6" s="287" t="n">
        <v>112</v>
      </c>
      <c r="L6" s="287" t="n">
        <v>12</v>
      </c>
      <c r="M6" s="287" t="n">
        <v>308</v>
      </c>
      <c r="N6" s="288" t="n">
        <v>6800</v>
      </c>
      <c r="O6" s="287" t="n">
        <v>33</v>
      </c>
      <c r="P6" s="287" t="n">
        <v>5</v>
      </c>
      <c r="Q6" s="287"/>
      <c r="R6" s="287"/>
      <c r="S6" s="288" t="n">
        <v>22620</v>
      </c>
      <c r="T6" s="287" t="n">
        <v>92</v>
      </c>
      <c r="U6" s="288" t="n">
        <v>14</v>
      </c>
      <c r="V6" s="288"/>
      <c r="W6" s="288"/>
      <c r="X6" s="288"/>
      <c r="Y6" s="288" t="n">
        <v>1078</v>
      </c>
      <c r="Z6" s="295" t="n">
        <v>506721</v>
      </c>
      <c r="AA6" s="295" t="n">
        <v>127000</v>
      </c>
      <c r="AB6" s="296" t="s">
        <v>3079</v>
      </c>
      <c r="AC6" s="296"/>
      <c r="AD6" s="290" t="n">
        <v>2043</v>
      </c>
      <c r="AE6" s="291"/>
      <c r="AF6" s="292"/>
      <c r="AG6" s="281"/>
    </row>
    <row r="7">
      <c r="A7" s="297"/>
      <c r="B7" s="297"/>
      <c r="C7" s="297"/>
      <c r="D7" s="297"/>
      <c r="E7" s="297"/>
      <c r="F7" s="297"/>
      <c r="G7" s="297"/>
      <c r="H7" s="297"/>
      <c r="I7" s="297"/>
      <c r="J7" s="297"/>
      <c r="K7" s="297"/>
      <c r="L7" s="297"/>
      <c r="M7" s="298"/>
      <c r="N7" s="299"/>
      <c r="O7" s="299"/>
      <c r="P7" s="300"/>
      <c r="Q7" s="300"/>
      <c r="R7" s="300"/>
      <c r="S7" s="300"/>
      <c r="T7" s="301"/>
      <c r="U7" s="301"/>
      <c r="V7" s="301"/>
      <c r="W7" s="301"/>
      <c r="X7" s="278"/>
      <c r="Y7" s="278"/>
      <c r="Z7" s="302"/>
      <c r="AA7" s="302"/>
      <c r="AB7" s="302"/>
      <c r="AC7" s="302"/>
      <c r="AD7" s="302"/>
      <c r="AE7" s="303"/>
      <c r="AF7" s="303"/>
      <c r="AG7" s="304"/>
    </row>
    <row r="8">
      <c r="A8" s="297"/>
      <c r="B8" s="297"/>
      <c r="C8" s="297"/>
      <c r="D8" s="297"/>
      <c r="E8" s="297"/>
      <c r="F8" s="297"/>
      <c r="G8" s="297"/>
      <c r="H8" s="297"/>
      <c r="I8" s="297"/>
      <c r="J8" s="297"/>
      <c r="K8" s="297"/>
      <c r="L8" s="297"/>
      <c r="M8" s="298"/>
      <c r="N8" s="299"/>
      <c r="O8" s="299"/>
      <c r="P8" s="300"/>
      <c r="Q8" s="300"/>
      <c r="R8" s="300"/>
      <c r="S8" s="300"/>
      <c r="T8" s="301"/>
      <c r="U8" s="301"/>
      <c r="V8" s="301"/>
      <c r="W8" s="301"/>
      <c r="X8" s="278"/>
      <c r="Y8" s="278"/>
      <c r="Z8" s="302"/>
      <c r="AA8" s="302"/>
      <c r="AB8" s="302"/>
      <c r="AC8" s="302"/>
      <c r="AD8" s="302"/>
      <c r="AE8" s="303"/>
      <c r="AF8" s="303"/>
      <c r="AG8" s="304"/>
    </row>
    <row r="9">
      <c r="A9" s="297"/>
      <c r="B9" s="297"/>
      <c r="C9" s="297"/>
      <c r="D9" s="297"/>
      <c r="E9" s="297"/>
      <c r="F9" s="297"/>
      <c r="G9" s="297"/>
      <c r="H9" s="297"/>
      <c r="I9" s="297"/>
      <c r="J9" s="297"/>
      <c r="K9" s="297"/>
      <c r="L9" s="297"/>
      <c r="M9" s="298"/>
      <c r="N9" s="299"/>
      <c r="O9" s="299"/>
      <c r="P9" s="300"/>
      <c r="Q9" s="300"/>
      <c r="R9" s="300"/>
      <c r="S9" s="300"/>
      <c r="T9" s="301"/>
      <c r="U9" s="301"/>
      <c r="V9" s="301"/>
      <c r="W9" s="301"/>
      <c r="X9" s="278"/>
      <c r="Y9" s="278"/>
      <c r="Z9" s="302"/>
      <c r="AA9" s="302"/>
      <c r="AB9" s="302"/>
      <c r="AC9" s="302"/>
      <c r="AD9" s="302"/>
      <c r="AE9" s="303"/>
      <c r="AF9" s="303"/>
      <c r="AG9" s="304"/>
    </row>
    <row r="10">
      <c r="A10" s="297"/>
      <c r="B10" s="297"/>
      <c r="C10" s="297"/>
      <c r="D10" s="297"/>
      <c r="E10" s="297"/>
      <c r="F10" s="297"/>
      <c r="G10" s="297"/>
      <c r="H10" s="297"/>
      <c r="I10" s="297"/>
      <c r="J10" s="297"/>
      <c r="K10" s="297"/>
      <c r="L10" s="297"/>
      <c r="M10" s="298"/>
      <c r="N10" s="299"/>
      <c r="O10" s="299"/>
      <c r="P10" s="300"/>
      <c r="Q10" s="300"/>
      <c r="R10" s="300"/>
      <c r="S10" s="300"/>
      <c r="T10" s="301"/>
      <c r="U10" s="301"/>
      <c r="V10" s="301"/>
      <c r="W10" s="301"/>
      <c r="X10" s="278"/>
      <c r="Y10" s="278"/>
      <c r="Z10" s="302"/>
      <c r="AA10" s="302"/>
      <c r="AB10" s="302"/>
      <c r="AC10" s="302"/>
      <c r="AD10" s="302"/>
      <c r="AE10" s="303"/>
      <c r="AF10" s="303"/>
      <c r="AG10" s="304"/>
    </row>
    <row r="11">
      <c r="A11" s="297" t="s">
        <v>3080</v>
      </c>
      <c r="B11" s="297" t="s">
        <v>3081</v>
      </c>
      <c r="C11" s="297" t="s">
        <v>3082</v>
      </c>
      <c r="D11" s="297" t="s">
        <v>3083</v>
      </c>
      <c r="E11" s="297" t="s">
        <v>3084</v>
      </c>
      <c r="F11" s="297" t="s">
        <v>3085</v>
      </c>
      <c r="G11" s="297" t="s">
        <v>3086</v>
      </c>
      <c r="H11" s="297" t="s">
        <v>3087</v>
      </c>
      <c r="I11" s="297" t="s">
        <v>3088</v>
      </c>
      <c r="J11" s="297" t="s">
        <v>3089</v>
      </c>
      <c r="K11" s="297" t="s">
        <v>3090</v>
      </c>
      <c r="L11" s="297" t="s">
        <v>3091</v>
      </c>
      <c r="M11" s="298" t="s">
        <v>3092</v>
      </c>
      <c r="N11" s="299" t="s">
        <v>3093</v>
      </c>
      <c r="O11" s="299"/>
      <c r="P11" s="300"/>
      <c r="Q11" s="300"/>
      <c r="R11" s="300"/>
      <c r="S11" s="300"/>
      <c r="T11" s="301" t="s">
        <v>3094</v>
      </c>
      <c r="U11" s="301"/>
      <c r="V11" s="301"/>
      <c r="W11" s="301"/>
      <c r="X11" s="278" t="s">
        <v>3095</v>
      </c>
      <c r="Y11" s="278"/>
      <c r="Z11" s="302" t="s">
        <v>3096</v>
      </c>
      <c r="AA11" s="302" t="s">
        <v>3097</v>
      </c>
      <c r="AB11" s="302" t="s">
        <v>3098</v>
      </c>
      <c r="AC11" s="302" t="s">
        <v>3099</v>
      </c>
      <c r="AD11" s="302" t="s">
        <v>3100</v>
      </c>
      <c r="AE11" s="303" t="s">
        <v>3101</v>
      </c>
      <c r="AF11" s="303" t="s">
        <v>3102</v>
      </c>
      <c r="AG11" s="304"/>
    </row>
    <row r="12" ht="21" customHeight="1">
      <c r="A12" s="297"/>
      <c r="B12" s="297" t="s">
        <v>3103</v>
      </c>
      <c r="C12" s="297" t="s">
        <v>3104</v>
      </c>
      <c r="D12" s="297" t="s">
        <v>3105</v>
      </c>
      <c r="E12" s="297" t="s">
        <v>3106</v>
      </c>
      <c r="F12" s="297" t="s">
        <v>3107</v>
      </c>
      <c r="G12" s="297" t="s">
        <v>3108</v>
      </c>
      <c r="H12" s="297" t="s">
        <v>3109</v>
      </c>
      <c r="I12" s="297" t="s">
        <v>3110</v>
      </c>
      <c r="J12" s="297" t="s">
        <v>3111</v>
      </c>
      <c r="K12" s="297" t="s">
        <v>3112</v>
      </c>
      <c r="L12" s="297" t="s">
        <v>3113</v>
      </c>
      <c r="M12" s="298"/>
      <c r="N12" s="299" t="s">
        <v>3114</v>
      </c>
      <c r="O12" s="299" t="s">
        <v>3115</v>
      </c>
      <c r="P12" s="300" t="s">
        <v>3116</v>
      </c>
      <c r="Q12" s="300" t="s">
        <v>3117</v>
      </c>
      <c r="R12" s="300" t="s">
        <v>3118</v>
      </c>
      <c r="S12" s="300" t="s">
        <v>3119</v>
      </c>
      <c r="T12" s="301" t="s">
        <v>3120</v>
      </c>
      <c r="U12" s="300" t="s">
        <v>3121</v>
      </c>
      <c r="V12" s="301" t="s">
        <v>3122</v>
      </c>
      <c r="W12" s="301" t="s">
        <v>3123</v>
      </c>
      <c r="X12" s="277" t="s">
        <v>3124</v>
      </c>
      <c r="Y12" s="277" t="s">
        <v>3125</v>
      </c>
      <c r="Z12" s="301" t="s">
        <v>3126</v>
      </c>
      <c r="AA12" s="301" t="s">
        <v>3127</v>
      </c>
      <c r="AB12" s="301" t="s">
        <v>3128</v>
      </c>
      <c r="AC12" s="301" t="s">
        <v>3129</v>
      </c>
      <c r="AD12" s="301" t="s">
        <v>3130</v>
      </c>
      <c r="AE12" s="303" t="s">
        <v>3131</v>
      </c>
      <c r="AF12" s="303"/>
      <c r="AG12" s="304"/>
    </row>
    <row r="13" ht="25.5" customHeight="1">
      <c r="A13" s="283" t="n">
        <v>44630</v>
      </c>
      <c r="B13" s="305" t="s">
        <v>3132</v>
      </c>
      <c r="C13" s="306" t="n">
        <v>10000</v>
      </c>
      <c r="D13" s="284" t="n">
        <v>257</v>
      </c>
      <c r="E13" s="306" t="n">
        <v>16000</v>
      </c>
      <c r="F13" s="306" t="n">
        <v>21000</v>
      </c>
      <c r="G13" s="306" t="n">
        <v>26000</v>
      </c>
      <c r="H13" s="284" t="n">
        <v>6574</v>
      </c>
      <c r="I13" s="284" t="n">
        <v>18876</v>
      </c>
      <c r="J13" s="284" t="n">
        <v>16879</v>
      </c>
      <c r="K13" s="284" t="n">
        <v>207</v>
      </c>
      <c r="L13" s="284" t="n">
        <v>2199</v>
      </c>
      <c r="M13" s="307" t="n">
        <f>SUM(C13:L13)</f>
        <v>117992</v>
      </c>
      <c r="N13" s="308" t="s">
        <v>3133</v>
      </c>
      <c r="O13" s="306" t="n">
        <v>5802</v>
      </c>
      <c r="P13" s="287" t="n">
        <v>281</v>
      </c>
      <c r="Q13" s="287" t="n">
        <v>9</v>
      </c>
      <c r="R13" s="309" t="n">
        <v>25</v>
      </c>
      <c r="S13" s="289">
        <f>R13/O13</f>
      </c>
      <c r="T13" s="288" t="n">
        <v>14000</v>
      </c>
      <c r="U13" s="287" t="n">
        <v>210</v>
      </c>
      <c r="V13" s="288" t="n">
        <v>2</v>
      </c>
      <c r="W13" s="309" t="s">
        <v>3134</v>
      </c>
      <c r="X13" s="310" t="s">
        <v>3135</v>
      </c>
      <c r="Y13" s="288" t="n">
        <v>5802</v>
      </c>
      <c r="Z13" s="288"/>
      <c r="AA13" s="309" t="n">
        <v>6574</v>
      </c>
      <c r="AB13" s="309" t="n">
        <v>18876</v>
      </c>
      <c r="AC13" s="309" t="n">
        <v>16879</v>
      </c>
      <c r="AD13" s="288" t="n">
        <v>207</v>
      </c>
      <c r="AE13" s="311" t="n">
        <v>2199</v>
      </c>
      <c r="AF13" s="82"/>
      <c r="AG13" s="312"/>
    </row>
    <row r="14" ht="25.5" customHeight="1">
      <c r="A14" s="283" t="n">
        <v>44627</v>
      </c>
      <c r="B14" s="305" t="s">
        <v>3136</v>
      </c>
      <c r="C14" s="284" t="n">
        <v>47000</v>
      </c>
      <c r="D14" s="284" t="n">
        <v>943</v>
      </c>
      <c r="E14" s="306" t="n">
        <v>17000</v>
      </c>
      <c r="F14" s="284" t="n">
        <v>17000</v>
      </c>
      <c r="G14" s="284" t="n">
        <v>28000</v>
      </c>
      <c r="H14" s="284" t="n">
        <v>4291</v>
      </c>
      <c r="I14" s="284" t="n">
        <v>3112</v>
      </c>
      <c r="J14" s="284" t="n">
        <v>14201</v>
      </c>
      <c r="K14" s="284" t="n">
        <v>7086</v>
      </c>
      <c r="L14" s="284" t="n">
        <v>2251</v>
      </c>
      <c r="M14" s="307" t="n">
        <f>SUM(C14:L14)</f>
        <v>140884</v>
      </c>
      <c r="N14" s="308" t="s">
        <v>3137</v>
      </c>
      <c r="O14" s="263" t="n">
        <v>181219</v>
      </c>
      <c r="P14" s="287" t="n">
        <v>334</v>
      </c>
      <c r="Q14" s="287" t="n">
        <v>15</v>
      </c>
      <c r="R14" s="309" t="n">
        <v>90</v>
      </c>
      <c r="S14" s="289">
        <f>R14/O14</f>
      </c>
      <c r="T14" s="288" t="n">
        <v>28000</v>
      </c>
      <c r="U14" s="287" t="n">
        <v>38</v>
      </c>
      <c r="V14" s="288" t="n">
        <v>573</v>
      </c>
      <c r="W14" s="309" t="s">
        <v>3138</v>
      </c>
      <c r="X14" s="313" t="s">
        <v>3139</v>
      </c>
      <c r="Y14" s="288" t="n">
        <v>181219</v>
      </c>
      <c r="Z14" s="288" t="n">
        <v>1143</v>
      </c>
      <c r="AA14" s="309" t="n">
        <v>4291</v>
      </c>
      <c r="AB14" s="309" t="n">
        <v>3112</v>
      </c>
      <c r="AC14" s="309" t="n">
        <v>14201</v>
      </c>
      <c r="AD14" s="309" t="n">
        <v>7086</v>
      </c>
      <c r="AE14" s="311" t="n">
        <v>2251</v>
      </c>
      <c r="AF14" s="82"/>
      <c r="AG14" s="312"/>
    </row>
    <row r="15" ht="25.5" customHeight="1">
      <c r="A15" s="283" t="n">
        <v>44624</v>
      </c>
      <c r="B15" s="305" t="s">
        <v>3140</v>
      </c>
      <c r="C15" s="263" t="n">
        <v>101000</v>
      </c>
      <c r="D15" s="306" t="n">
        <v>1110</v>
      </c>
      <c r="E15" s="263" t="n">
        <v>443000</v>
      </c>
      <c r="F15" s="263" t="n">
        <v>201000</v>
      </c>
      <c r="G15" s="263" t="n">
        <v>245000</v>
      </c>
      <c r="H15" s="284" t="n">
        <v>49784</v>
      </c>
      <c r="I15" s="285" t="n">
        <v>1184695</v>
      </c>
      <c r="J15" s="285" t="n">
        <v>248106</v>
      </c>
      <c r="K15" s="284" t="n">
        <v>26142</v>
      </c>
      <c r="L15" s="284" t="n">
        <v>3323</v>
      </c>
      <c r="M15" s="314" t="n">
        <f>SUM(C15:L15)</f>
        <v>2503160</v>
      </c>
      <c r="N15" s="308" t="s">
        <v>3141</v>
      </c>
      <c r="O15" s="306" t="n">
        <v>100380</v>
      </c>
      <c r="P15" s="287" t="n">
        <v>3574</v>
      </c>
      <c r="Q15" s="287" t="n">
        <v>130</v>
      </c>
      <c r="R15" s="288" t="n">
        <v>458</v>
      </c>
      <c r="S15" s="289">
        <f>R15/O15</f>
      </c>
      <c r="T15" s="315" t="n">
        <v>153000</v>
      </c>
      <c r="U15" s="287" t="n">
        <v>2937</v>
      </c>
      <c r="V15" s="288" t="n">
        <v>54</v>
      </c>
      <c r="W15" s="309" t="s">
        <v>3142</v>
      </c>
      <c r="X15" s="316" t="s">
        <v>3143</v>
      </c>
      <c r="Y15" s="309" t="s">
        <v>3144</v>
      </c>
      <c r="Z15" s="288" t="n">
        <v>464</v>
      </c>
      <c r="AA15" s="317" t="n">
        <v>49784</v>
      </c>
      <c r="AB15" s="317" t="n">
        <v>1184695</v>
      </c>
      <c r="AC15" s="317" t="n">
        <v>248106</v>
      </c>
      <c r="AD15" s="317" t="n">
        <v>26142</v>
      </c>
      <c r="AE15" s="311" t="n">
        <v>3323</v>
      </c>
      <c r="AF15" s="82"/>
      <c r="AG15" s="312"/>
    </row>
    <row r="16" ht="25.5" customHeight="1">
      <c r="A16" s="283" t="n">
        <v>44621</v>
      </c>
      <c r="B16" s="318" t="s">
        <v>3145</v>
      </c>
      <c r="C16" s="306" t="n">
        <v>6867</v>
      </c>
      <c r="D16" s="306" t="n">
        <v>333</v>
      </c>
      <c r="E16" s="306" t="n">
        <v>18000</v>
      </c>
      <c r="F16" s="306" t="n">
        <v>26000</v>
      </c>
      <c r="G16" s="306" t="n">
        <v>10000</v>
      </c>
      <c r="H16" s="306" t="n">
        <v>2664</v>
      </c>
      <c r="I16" s="263" t="n">
        <v>156060</v>
      </c>
      <c r="J16" s="263" t="n">
        <v>57001</v>
      </c>
      <c r="K16" s="306" t="s">
        <v>3146</v>
      </c>
      <c r="L16" s="284" t="n">
        <v>1538</v>
      </c>
      <c r="M16" s="319">
        <f>SUM(D16:L16)</f>
      </c>
      <c r="N16" s="308" t="s">
        <v>3147</v>
      </c>
      <c r="O16" s="306" t="n">
        <v>28271</v>
      </c>
      <c r="P16" s="289" t="n">
        <v>0.004</v>
      </c>
      <c r="Q16" s="309" t="n">
        <v>10000</v>
      </c>
      <c r="R16" s="316" t="n">
        <v>110</v>
      </c>
      <c r="S16" s="309" t="n">
        <v>4</v>
      </c>
      <c r="T16" s="309" t="s">
        <v>3148</v>
      </c>
      <c r="U16" s="320" t="s">
        <v>3149</v>
      </c>
      <c r="V16" s="309" t="n">
        <v>100380</v>
      </c>
      <c r="W16" s="309" t="n">
        <v>576</v>
      </c>
      <c r="X16" s="309" t="n">
        <v>2664</v>
      </c>
      <c r="Y16" s="317" t="n">
        <v>156060</v>
      </c>
      <c r="Z16" s="317" t="n">
        <v>57001</v>
      </c>
      <c r="AA16" s="311" t="n">
        <v>1538</v>
      </c>
      <c r="AB16" s="82"/>
      <c r="AC16" s="312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 t="n">
        <f>SUM(M13:M16)</f>
        <v>3033632</v>
      </c>
      <c r="N17" s="308" t="s">
        <v>3150</v>
      </c>
      <c r="O17" s="306" t="n">
        <v>20288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25.5" customHeight="1">
      <c r="A18" s="283" t="n">
        <v>44627</v>
      </c>
      <c r="B18" s="305" t="s">
        <v>3151</v>
      </c>
      <c r="C18" s="284" t="n">
        <v>47000</v>
      </c>
      <c r="D18" s="284" t="n">
        <v>943</v>
      </c>
      <c r="E18" s="306" t="n">
        <v>17000</v>
      </c>
      <c r="F18" s="284" t="n">
        <v>17000</v>
      </c>
      <c r="G18" s="284" t="n">
        <v>28000</v>
      </c>
      <c r="H18" s="284" t="n">
        <v>4291</v>
      </c>
      <c r="I18" s="284" t="n">
        <v>3112</v>
      </c>
      <c r="J18" s="284" t="n">
        <v>14201</v>
      </c>
      <c r="K18" s="284" t="n">
        <v>7086</v>
      </c>
      <c r="L18" s="284" t="n">
        <v>2251</v>
      </c>
      <c r="M18" s="307" t="n">
        <f>SUM(C18:L18)</f>
        <v>140884</v>
      </c>
      <c r="N18" s="305" t="s">
        <v>3152</v>
      </c>
      <c r="O18" s="284" t="n">
        <v>30770</v>
      </c>
      <c r="P18" s="287" t="n">
        <v>334</v>
      </c>
      <c r="Q18" s="287" t="n">
        <v>15</v>
      </c>
      <c r="R18" s="309" t="n">
        <v>90</v>
      </c>
      <c r="S18" s="289">
        <f>R18/O18</f>
      </c>
      <c r="T18" s="288" t="n">
        <v>28000</v>
      </c>
      <c r="U18" s="287" t="n">
        <v>38</v>
      </c>
      <c r="V18" s="288" t="n">
        <v>573</v>
      </c>
      <c r="W18" s="309" t="s">
        <v>3153</v>
      </c>
      <c r="X18" s="313" t="s">
        <v>3154</v>
      </c>
      <c r="Y18" s="288" t="n">
        <v>181219</v>
      </c>
      <c r="Z18" s="288" t="n">
        <v>1143</v>
      </c>
      <c r="AA18" s="309" t="n">
        <v>4291</v>
      </c>
      <c r="AB18" s="309" t="n">
        <v>3112</v>
      </c>
      <c r="AC18" s="309" t="n">
        <v>14201</v>
      </c>
      <c r="AD18" s="309" t="n">
        <v>7086</v>
      </c>
      <c r="AE18" s="311" t="n">
        <v>2251</v>
      </c>
      <c r="AF18" s="82"/>
      <c r="AG18" s="312"/>
    </row>
    <row r="19" ht="25.5" customHeight="1">
      <c r="A19" s="283" t="n">
        <v>44624</v>
      </c>
      <c r="B19" s="305" t="s">
        <v>3155</v>
      </c>
      <c r="C19" s="263" t="n">
        <v>101000</v>
      </c>
      <c r="D19" s="306" t="n">
        <v>1110</v>
      </c>
      <c r="E19" s="263" t="n">
        <v>443000</v>
      </c>
      <c r="F19" s="263" t="n">
        <v>201000</v>
      </c>
      <c r="G19" s="263" t="n">
        <v>245000</v>
      </c>
      <c r="H19" s="284" t="n">
        <v>49784</v>
      </c>
      <c r="I19" s="285" t="n">
        <v>1184695</v>
      </c>
      <c r="J19" s="285" t="n">
        <v>248106</v>
      </c>
      <c r="K19" s="284" t="n">
        <v>26142</v>
      </c>
      <c r="L19" s="284" t="n">
        <v>3323</v>
      </c>
      <c r="M19" s="314" t="n">
        <f>SUM(C19:L19)</f>
        <v>2503160</v>
      </c>
      <c r="N19" s="321" t="s">
        <v>3156</v>
      </c>
      <c r="O19" s="285" t="n">
        <v>759991</v>
      </c>
      <c r="P19" s="287" t="n">
        <v>3574</v>
      </c>
      <c r="Q19" s="287" t="n">
        <v>130</v>
      </c>
      <c r="R19" s="288" t="n">
        <v>458</v>
      </c>
      <c r="S19" s="289">
        <f>R19/O19</f>
      </c>
      <c r="T19" s="315" t="n">
        <v>153000</v>
      </c>
      <c r="U19" s="287" t="n">
        <v>2937</v>
      </c>
      <c r="V19" s="288" t="n">
        <v>54</v>
      </c>
      <c r="W19" s="309" t="s">
        <v>3157</v>
      </c>
      <c r="X19" s="316" t="s">
        <v>3158</v>
      </c>
      <c r="Y19" s="309" t="s">
        <v>3159</v>
      </c>
      <c r="Z19" s="288" t="n">
        <v>464</v>
      </c>
      <c r="AA19" s="317" t="n">
        <v>49784</v>
      </c>
      <c r="AB19" s="317" t="n">
        <v>1184695</v>
      </c>
      <c r="AC19" s="317" t="n">
        <v>248106</v>
      </c>
      <c r="AD19" s="317" t="n">
        <v>26142</v>
      </c>
      <c r="AE19" s="311" t="n">
        <v>3323</v>
      </c>
      <c r="AF19" s="82"/>
      <c r="AG19" s="312"/>
    </row>
    <row r="20">
      <c r="A20" s="297"/>
      <c r="B20" s="322"/>
      <c r="C20" s="297"/>
      <c r="D20" s="297"/>
      <c r="E20" s="297"/>
      <c r="F20" s="297"/>
      <c r="G20" s="297"/>
      <c r="H20" s="297"/>
      <c r="I20" s="297"/>
      <c r="J20" s="297"/>
      <c r="K20" s="297"/>
      <c r="L20" s="298"/>
      <c r="M20" s="298"/>
      <c r="N20" s="308" t="s">
        <v>3160</v>
      </c>
      <c r="O20" s="284" t="n">
        <v>48704</v>
      </c>
      <c r="P20" s="300"/>
      <c r="Q20" s="301"/>
      <c r="R20" s="301"/>
      <c r="S20" s="301"/>
      <c r="T20" s="301"/>
      <c r="U20" s="278"/>
      <c r="V20" s="278"/>
      <c r="W20" s="302"/>
      <c r="X20" s="302"/>
      <c r="Y20" s="302"/>
      <c r="Z20" s="302"/>
      <c r="AA20" s="303"/>
      <c r="AB20" s="303"/>
      <c r="AC20" s="304"/>
      <c r="AD20" s="3"/>
      <c r="AE20" s="3"/>
      <c r="AF20" s="3"/>
      <c r="AG20" s="3"/>
    </row>
    <row r="21">
      <c r="A21" s="297"/>
      <c r="B21" s="322"/>
      <c r="C21" s="297"/>
      <c r="D21" s="297"/>
      <c r="E21" s="297"/>
      <c r="F21" s="297"/>
      <c r="G21" s="297"/>
      <c r="H21" s="297"/>
      <c r="I21" s="297"/>
      <c r="J21" s="297"/>
      <c r="K21" s="297"/>
      <c r="L21" s="298"/>
      <c r="M21" s="298"/>
      <c r="N21" s="299"/>
      <c r="O21" s="299"/>
      <c r="P21" s="300"/>
      <c r="Q21" s="301"/>
      <c r="R21" s="301"/>
      <c r="S21" s="301"/>
      <c r="T21" s="301"/>
      <c r="U21" s="278"/>
      <c r="V21" s="278"/>
      <c r="W21" s="302"/>
      <c r="X21" s="302"/>
      <c r="Y21" s="302"/>
      <c r="Z21" s="302"/>
      <c r="AA21" s="303"/>
      <c r="AB21" s="303"/>
      <c r="AC21" s="304"/>
      <c r="AD21" s="3"/>
      <c r="AE21" s="3"/>
      <c r="AF21" s="3"/>
      <c r="AG21" s="3"/>
    </row>
    <row r="22">
      <c r="A22" s="297"/>
      <c r="B22" s="322"/>
      <c r="C22" s="297"/>
      <c r="D22" s="297"/>
      <c r="E22" s="297"/>
      <c r="F22" s="297"/>
      <c r="G22" s="297"/>
      <c r="H22" s="297"/>
      <c r="I22" s="297"/>
      <c r="J22" s="297"/>
      <c r="K22" s="297"/>
      <c r="L22" s="298"/>
      <c r="M22" s="298"/>
      <c r="N22" s="299"/>
      <c r="O22" s="299"/>
      <c r="P22" s="300"/>
      <c r="Q22" s="301"/>
      <c r="R22" s="301"/>
      <c r="S22" s="301"/>
      <c r="T22" s="301"/>
      <c r="U22" s="278"/>
      <c r="V22" s="278"/>
      <c r="W22" s="302"/>
      <c r="X22" s="302"/>
      <c r="Y22" s="302"/>
      <c r="Z22" s="302"/>
      <c r="AA22" s="303"/>
      <c r="AB22" s="303"/>
      <c r="AC22" s="304"/>
      <c r="AD22" s="3"/>
      <c r="AE22" s="3"/>
      <c r="AF22" s="3"/>
      <c r="AG22" s="3"/>
    </row>
    <row r="23">
      <c r="A23" s="297" t="s">
        <v>3161</v>
      </c>
      <c r="B23" s="322" t="s">
        <v>3162</v>
      </c>
      <c r="C23" s="297" t="s">
        <v>3163</v>
      </c>
      <c r="D23" s="297" t="s">
        <v>3164</v>
      </c>
      <c r="E23" s="297" t="s">
        <v>3165</v>
      </c>
      <c r="F23" s="297" t="s">
        <v>3166</v>
      </c>
      <c r="G23" s="297" t="s">
        <v>3167</v>
      </c>
      <c r="H23" s="297" t="s">
        <v>3168</v>
      </c>
      <c r="I23" s="297" t="s">
        <v>3169</v>
      </c>
      <c r="J23" s="297" t="s">
        <v>3170</v>
      </c>
      <c r="K23" s="297" t="s">
        <v>3171</v>
      </c>
      <c r="L23" s="298" t="s">
        <v>3172</v>
      </c>
      <c r="M23" s="298"/>
      <c r="N23" s="299" t="s">
        <v>3173</v>
      </c>
      <c r="O23" s="299"/>
      <c r="P23" s="300"/>
      <c r="Q23" s="301" t="s">
        <v>3174</v>
      </c>
      <c r="R23" s="301"/>
      <c r="S23" s="301"/>
      <c r="T23" s="301"/>
      <c r="U23" s="278" t="s">
        <v>3175</v>
      </c>
      <c r="V23" s="278"/>
      <c r="W23" s="302" t="s">
        <v>3176</v>
      </c>
      <c r="X23" s="302" t="s">
        <v>3177</v>
      </c>
      <c r="Y23" s="302" t="s">
        <v>3178</v>
      </c>
      <c r="Z23" s="302" t="s">
        <v>3179</v>
      </c>
      <c r="AA23" s="303" t="s">
        <v>3180</v>
      </c>
      <c r="AB23" s="303" t="s">
        <v>3181</v>
      </c>
      <c r="AC23" s="304"/>
      <c r="AD23" s="3"/>
      <c r="AE23" s="3"/>
      <c r="AF23" s="3"/>
      <c r="AG23" s="3"/>
    </row>
    <row r="24" ht="21" customHeight="1">
      <c r="A24" s="297"/>
      <c r="B24" s="322" t="s">
        <v>3182</v>
      </c>
      <c r="C24" s="297" t="s">
        <v>3183</v>
      </c>
      <c r="D24" s="297" t="s">
        <v>3184</v>
      </c>
      <c r="E24" s="297" t="s">
        <v>3185</v>
      </c>
      <c r="F24" s="297" t="s">
        <v>3186</v>
      </c>
      <c r="G24" s="297" t="s">
        <v>3187</v>
      </c>
      <c r="H24" s="297" t="s">
        <v>3188</v>
      </c>
      <c r="I24" s="297" t="s">
        <v>3189</v>
      </c>
      <c r="J24" s="297" t="s">
        <v>3190</v>
      </c>
      <c r="K24" s="297" t="s">
        <v>3191</v>
      </c>
      <c r="L24" s="298"/>
      <c r="M24" s="298"/>
      <c r="N24" s="299" t="s">
        <v>3192</v>
      </c>
      <c r="O24" s="299" t="s">
        <v>3193</v>
      </c>
      <c r="P24" s="300" t="s">
        <v>3194</v>
      </c>
      <c r="Q24" s="301" t="s">
        <v>3195</v>
      </c>
      <c r="R24" s="300" t="s">
        <v>3196</v>
      </c>
      <c r="S24" s="301" t="s">
        <v>3197</v>
      </c>
      <c r="T24" s="301" t="s">
        <v>3198</v>
      </c>
      <c r="U24" s="277" t="s">
        <v>3199</v>
      </c>
      <c r="V24" s="277" t="s">
        <v>3200</v>
      </c>
      <c r="W24" s="301" t="s">
        <v>3201</v>
      </c>
      <c r="X24" s="301" t="s">
        <v>3202</v>
      </c>
      <c r="Y24" s="301" t="s">
        <v>3203</v>
      </c>
      <c r="Z24" s="301" t="s">
        <v>3204</v>
      </c>
      <c r="AA24" s="303" t="s">
        <v>3205</v>
      </c>
      <c r="AB24" s="303"/>
      <c r="AC24" s="304"/>
      <c r="AD24" s="3"/>
      <c r="AE24" s="3"/>
      <c r="AF24" s="3"/>
      <c r="AG24" s="3"/>
    </row>
    <row r="25" ht="25.5" customHeight="1">
      <c r="A25" s="283" t="n">
        <v>44628</v>
      </c>
      <c r="B25" s="305" t="s">
        <v>3206</v>
      </c>
      <c r="C25" s="306" t="n">
        <v>5328</v>
      </c>
      <c r="D25" s="284" t="n">
        <v>188</v>
      </c>
      <c r="E25" s="306" t="n">
        <v>21000</v>
      </c>
      <c r="F25" s="306" t="n">
        <v>20000</v>
      </c>
      <c r="G25" s="284" t="n">
        <v>4445</v>
      </c>
      <c r="H25" s="284" t="n">
        <v>3506</v>
      </c>
      <c r="I25" s="284" t="n">
        <v>21788</v>
      </c>
      <c r="J25" s="284" t="n">
        <v>8283</v>
      </c>
      <c r="K25" s="284" t="n">
        <v>430</v>
      </c>
      <c r="L25" s="284" t="n">
        <v>16334</v>
      </c>
      <c r="M25" s="307" t="n">
        <f>SUM(C25:L25)</f>
        <v>101302</v>
      </c>
      <c r="N25" s="308" t="s">
        <v>3207</v>
      </c>
      <c r="O25" s="306" t="n">
        <v>28271</v>
      </c>
      <c r="P25" s="287" t="n">
        <v>507</v>
      </c>
      <c r="Q25" s="287" t="n">
        <v>23</v>
      </c>
      <c r="R25" s="309" t="n">
        <v>152</v>
      </c>
      <c r="S25" s="289" t="n">
        <f>R25/O25</f>
        <v>0.00537653425771992</v>
      </c>
      <c r="T25" s="288" t="n">
        <v>4445</v>
      </c>
      <c r="U25" s="287" t="n">
        <v>3</v>
      </c>
      <c r="V25" s="288" t="n">
        <v>64</v>
      </c>
      <c r="W25" s="309" t="s">
        <v>3208</v>
      </c>
      <c r="X25" s="310" t="s">
        <v>3209</v>
      </c>
      <c r="Y25" s="288" t="n">
        <v>28271</v>
      </c>
      <c r="Z25" s="288" t="n">
        <v>349</v>
      </c>
      <c r="AA25" s="309" t="n">
        <v>3506</v>
      </c>
      <c r="AB25" s="317" t="n">
        <v>21788</v>
      </c>
      <c r="AC25" s="309" t="n">
        <v>8283</v>
      </c>
      <c r="AD25" s="309" t="n">
        <v>430</v>
      </c>
      <c r="AE25" s="311" t="n">
        <v>16334</v>
      </c>
      <c r="AF25" s="82"/>
      <c r="AG25" s="312"/>
    </row>
    <row r="26" ht="25.5" customHeight="1">
      <c r="A26" s="283" t="n">
        <v>44623</v>
      </c>
      <c r="B26" s="323" t="s">
        <v>3210</v>
      </c>
      <c r="C26" s="284" t="n">
        <v>2801</v>
      </c>
      <c r="D26" s="284" t="n">
        <v>423</v>
      </c>
      <c r="E26" s="284" t="n">
        <v>4332</v>
      </c>
      <c r="F26" s="284" t="n">
        <v>4302</v>
      </c>
      <c r="G26" s="284" t="n">
        <v>7800</v>
      </c>
      <c r="H26" s="306" t="n">
        <v>1905</v>
      </c>
      <c r="I26" s="306" t="n">
        <v>1029</v>
      </c>
      <c r="J26" s="306" t="n">
        <v>6214</v>
      </c>
      <c r="K26" s="284" t="n">
        <v>1703</v>
      </c>
      <c r="L26" s="319">
        <f>SUM(C26:K26)</f>
      </c>
      <c r="M26" s="319"/>
      <c r="N26" s="308" t="s">
        <v>3211</v>
      </c>
      <c r="O26" s="306" t="n">
        <v>20288</v>
      </c>
      <c r="P26" s="289" t="n">
        <v>0.0016</v>
      </c>
      <c r="Q26" s="288" t="n">
        <v>7800</v>
      </c>
      <c r="R26" s="287" t="n">
        <v>84</v>
      </c>
      <c r="S26" s="288" t="n">
        <v>3</v>
      </c>
      <c r="T26" s="288" t="n">
        <v>30</v>
      </c>
      <c r="U26" s="310" t="s">
        <v>3212</v>
      </c>
      <c r="V26" s="309" t="n">
        <v>20288</v>
      </c>
      <c r="W26" s="309" t="s">
        <v>3213</v>
      </c>
      <c r="X26" s="309" t="n">
        <v>1905</v>
      </c>
      <c r="Y26" s="309" t="n">
        <v>1029</v>
      </c>
      <c r="Z26" s="309" t="n">
        <v>6214</v>
      </c>
      <c r="AA26" s="311" t="n">
        <v>1703</v>
      </c>
      <c r="AB26" s="82"/>
      <c r="AC26" s="312"/>
      <c r="AD26" s="3"/>
      <c r="AE26" s="3"/>
      <c r="AF26" s="3"/>
      <c r="AG26" s="3"/>
    </row>
    <row r="27" ht="25.5" customHeight="1">
      <c r="A27" s="283" t="n">
        <v>44622</v>
      </c>
      <c r="B27" s="323" t="s">
        <v>3214</v>
      </c>
      <c r="C27" s="284" t="n">
        <v>3483</v>
      </c>
      <c r="D27" s="284" t="n">
        <v>2558</v>
      </c>
      <c r="E27" s="284" t="n">
        <v>7706</v>
      </c>
      <c r="F27" s="284" t="n">
        <v>3991</v>
      </c>
      <c r="G27" s="284" t="n">
        <v>9756</v>
      </c>
      <c r="H27" s="306" t="n">
        <v>2087</v>
      </c>
      <c r="I27" s="306" t="n">
        <v>16775</v>
      </c>
      <c r="J27" s="306" t="n">
        <v>1773</v>
      </c>
      <c r="K27" s="284" t="n">
        <v>2881</v>
      </c>
      <c r="L27" s="319">
        <f>SUM(C27:K27)</f>
      </c>
      <c r="M27" s="319"/>
      <c r="N27" s="305" t="s">
        <v>3215</v>
      </c>
      <c r="O27" s="284" t="n">
        <v>30770</v>
      </c>
      <c r="P27" s="289" t="n">
        <v>0.0003</v>
      </c>
      <c r="Q27" s="288" t="n">
        <v>9756</v>
      </c>
      <c r="R27" s="287" t="n">
        <v>107</v>
      </c>
      <c r="S27" s="288" t="n">
        <v>5</v>
      </c>
      <c r="T27" s="288" t="n">
        <v>36</v>
      </c>
      <c r="U27" s="288" t="s">
        <v>3216</v>
      </c>
      <c r="V27" s="288" t="n">
        <v>30770</v>
      </c>
      <c r="W27" s="309" t="n">
        <v>321</v>
      </c>
      <c r="X27" s="309" t="n">
        <v>2087</v>
      </c>
      <c r="Y27" s="309" t="n">
        <v>16775</v>
      </c>
      <c r="Z27" s="309" t="n">
        <v>1773</v>
      </c>
      <c r="AA27" s="311" t="n">
        <v>2881</v>
      </c>
      <c r="AB27" s="82"/>
      <c r="AC27" s="312"/>
      <c r="AD27" s="3"/>
      <c r="AE27" s="3"/>
      <c r="AF27" s="3"/>
      <c r="AG27" s="3"/>
    </row>
    <row r="28" ht="25.5" customHeight="1">
      <c r="A28" s="283" t="n">
        <v>44620</v>
      </c>
      <c r="B28" s="323" t="s">
        <v>3217</v>
      </c>
      <c r="C28" s="284" t="n">
        <v>3362</v>
      </c>
      <c r="D28" s="284" t="n">
        <v>172</v>
      </c>
      <c r="E28" s="284" t="n">
        <v>6295</v>
      </c>
      <c r="F28" s="284" t="n">
        <v>8771</v>
      </c>
      <c r="G28" s="284" t="n">
        <v>9190</v>
      </c>
      <c r="H28" s="306" t="n">
        <v>1874</v>
      </c>
      <c r="I28" s="306" t="n">
        <v>1524</v>
      </c>
      <c r="J28" s="306" t="n">
        <v>6838</v>
      </c>
      <c r="K28" s="284" t="n">
        <v>2284</v>
      </c>
      <c r="L28" s="319">
        <f>SUM(C28:K28)</f>
      </c>
      <c r="M28" s="319"/>
      <c r="N28" s="308" t="s">
        <v>3218</v>
      </c>
      <c r="O28" s="285" t="n">
        <v>759991</v>
      </c>
      <c r="P28" s="289" t="n">
        <v>0.0025</v>
      </c>
      <c r="Q28" s="288" t="n">
        <v>9190</v>
      </c>
      <c r="R28" s="287" t="n">
        <v>123</v>
      </c>
      <c r="S28" s="288" t="n">
        <v>2</v>
      </c>
      <c r="T28" s="287" t="n">
        <v>40</v>
      </c>
      <c r="U28" s="310" t="s">
        <v>3219</v>
      </c>
      <c r="V28" s="288" t="n">
        <v>759991</v>
      </c>
      <c r="W28" s="309" t="n">
        <v>545</v>
      </c>
      <c r="X28" s="309" t="n">
        <v>1874</v>
      </c>
      <c r="Y28" s="309" t="n">
        <v>1524</v>
      </c>
      <c r="Z28" s="309" t="n">
        <v>6838</v>
      </c>
      <c r="AA28" s="311" t="n">
        <v>2284</v>
      </c>
      <c r="AB28" s="82"/>
      <c r="AC28" s="312"/>
      <c r="AD28" s="3"/>
      <c r="AE28" s="3"/>
      <c r="AF28" s="3"/>
      <c r="AG28" s="3"/>
    </row>
    <row r="29" ht="25.5" customHeight="1">
      <c r="A29" s="283" t="n">
        <v>44617</v>
      </c>
      <c r="B29" s="323" t="s">
        <v>3220</v>
      </c>
      <c r="C29" s="284" t="n">
        <v>2209</v>
      </c>
      <c r="D29" s="284" t="n">
        <v>195</v>
      </c>
      <c r="E29" s="284" t="n">
        <v>9385</v>
      </c>
      <c r="F29" s="284" t="n">
        <v>6087</v>
      </c>
      <c r="G29" s="284" t="n">
        <v>9992</v>
      </c>
      <c r="H29" s="306" t="n">
        <v>1344</v>
      </c>
      <c r="I29" s="306" t="n">
        <v>13935</v>
      </c>
      <c r="J29" s="306" t="n">
        <v>1322</v>
      </c>
      <c r="K29" s="284" t="n">
        <v>1284</v>
      </c>
      <c r="L29" s="319">
        <f>SUM(C29:K29)</f>
      </c>
      <c r="M29" s="319"/>
      <c r="N29" s="308" t="s">
        <v>3221</v>
      </c>
      <c r="O29" s="284" t="n">
        <v>48704</v>
      </c>
      <c r="P29" s="289" t="n">
        <v>0.0053</v>
      </c>
      <c r="Q29" s="288" t="n">
        <v>9992</v>
      </c>
      <c r="R29" s="287" t="n">
        <v>98</v>
      </c>
      <c r="S29" s="288" t="n">
        <v>9</v>
      </c>
      <c r="T29" s="287" t="n">
        <v>31</v>
      </c>
      <c r="U29" s="310" t="s">
        <v>3222</v>
      </c>
      <c r="V29" s="288" t="n">
        <v>48704</v>
      </c>
      <c r="W29" s="309" t="n">
        <v>498</v>
      </c>
      <c r="X29" s="309" t="n">
        <v>1344</v>
      </c>
      <c r="Y29" s="309" t="n">
        <v>13935</v>
      </c>
      <c r="Z29" s="309" t="n">
        <v>1322</v>
      </c>
      <c r="AA29" s="311" t="n">
        <v>1284</v>
      </c>
      <c r="AB29" s="82"/>
      <c r="AC29" s="312"/>
      <c r="AD29" s="3"/>
      <c r="AE29" s="3"/>
      <c r="AF29" s="3"/>
      <c r="AG29" s="3"/>
    </row>
    <row r="30"/>
    <row r="31"/>
    <row r="32">
      <c r="A32" s="297" t="s">
        <v>3223</v>
      </c>
      <c r="B32" s="297" t="s">
        <v>3224</v>
      </c>
      <c r="C32" s="297" t="s">
        <v>3225</v>
      </c>
      <c r="D32" s="297" t="s">
        <v>3226</v>
      </c>
      <c r="E32" s="297" t="s">
        <v>3227</v>
      </c>
      <c r="F32" s="297" t="s">
        <v>3228</v>
      </c>
      <c r="G32" s="297" t="s">
        <v>3229</v>
      </c>
      <c r="H32" s="297" t="s">
        <v>3230</v>
      </c>
      <c r="I32" s="297" t="s">
        <v>3231</v>
      </c>
      <c r="J32" s="297" t="s">
        <v>3232</v>
      </c>
      <c r="K32" s="298" t="s">
        <v>3233</v>
      </c>
      <c r="L32" s="298" t="s">
        <v>3234</v>
      </c>
      <c r="M32" s="298" t="s">
        <v>3235</v>
      </c>
    </row>
    <row r="33">
      <c r="A33" s="297"/>
      <c r="B33" s="297" t="s">
        <v>3236</v>
      </c>
      <c r="C33" s="297" t="s">
        <v>3237</v>
      </c>
      <c r="D33" s="297" t="s">
        <v>3238</v>
      </c>
      <c r="E33" s="297" t="s">
        <v>3239</v>
      </c>
      <c r="F33" s="297" t="s">
        <v>3240</v>
      </c>
      <c r="G33" s="297" t="s">
        <v>3241</v>
      </c>
      <c r="H33" s="297" t="s">
        <v>3242</v>
      </c>
      <c r="I33" s="297" t="s">
        <v>3243</v>
      </c>
      <c r="J33" s="297"/>
      <c r="K33" s="298"/>
      <c r="L33" s="298"/>
      <c r="M33" s="298"/>
    </row>
    <row r="34">
      <c r="A34" s="283" t="n">
        <v>44638</v>
      </c>
      <c r="B34" s="324" t="s">
        <v>3244</v>
      </c>
      <c r="C34" s="306" t="n">
        <v>4902</v>
      </c>
      <c r="D34" s="306" t="n">
        <v>15000</v>
      </c>
      <c r="E34" s="306" t="n">
        <v>14000</v>
      </c>
      <c r="F34" s="263" t="n">
        <v>107000</v>
      </c>
      <c r="G34" s="306" t="n">
        <v>12220</v>
      </c>
      <c r="H34" s="306" t="n">
        <v>10917</v>
      </c>
      <c r="I34" s="306" t="n">
        <v>20977</v>
      </c>
      <c r="J34" s="306" t="n">
        <v>1405</v>
      </c>
      <c r="K34" s="325">
        <f>SUM(A34:J34)</f>
      </c>
      <c r="L34" s="314" t="n">
        <f>SUM(B34:K34)</f>
        <v>417480</v>
      </c>
      <c r="M34" s="326" t="n">
        <f>SUM(C34:L34)</f>
        <v>834960</v>
      </c>
    </row>
    <row r="35">
      <c r="A35" s="283" t="n">
        <v>44637</v>
      </c>
      <c r="B35" s="324" t="s">
        <v>3245</v>
      </c>
      <c r="C35" s="306" t="n">
        <v>11000</v>
      </c>
      <c r="D35" s="306" t="n">
        <v>28000</v>
      </c>
      <c r="E35" s="306" t="n">
        <v>21000</v>
      </c>
      <c r="F35" s="263" t="n">
        <v>104000</v>
      </c>
      <c r="G35" s="306" t="n">
        <v>28732</v>
      </c>
      <c r="H35" s="263" t="n">
        <v>173628</v>
      </c>
      <c r="I35" s="263" t="n">
        <v>225601</v>
      </c>
      <c r="J35" s="306" t="n">
        <v>3694</v>
      </c>
      <c r="K35" s="325">
        <f>SUM(A35:J35)</f>
      </c>
      <c r="L35" s="314" t="n">
        <f>SUM(B35:K35)</f>
        <v>1235947</v>
      </c>
      <c r="M35" s="326" t="n">
        <f>SUM(C35:L35)</f>
        <v>2471894</v>
      </c>
    </row>
    <row r="36">
      <c r="A36" s="283" t="n">
        <v>44642</v>
      </c>
      <c r="B36" s="324" t="s">
        <v>3246</v>
      </c>
      <c r="C36" s="306" t="n">
        <v>3430</v>
      </c>
      <c r="D36" s="306" t="n">
        <v>13000</v>
      </c>
      <c r="E36" s="306" t="n">
        <v>12000</v>
      </c>
      <c r="F36" s="306" t="n">
        <v>7924</v>
      </c>
      <c r="G36" s="306" t="n">
        <v>2161</v>
      </c>
      <c r="H36" s="306" t="n">
        <v>3109</v>
      </c>
      <c r="I36" s="306" t="n">
        <v>189</v>
      </c>
      <c r="J36" s="306" t="n">
        <v>1252</v>
      </c>
      <c r="K36" s="327">
        <f>SUM(A36:J36)</f>
      </c>
      <c r="L36" s="307" t="n">
        <f>SUM(B36:K36)</f>
        <v>130772</v>
      </c>
      <c r="M36" s="307" t="n">
        <f>SUM(C36:L36)</f>
        <v>261544</v>
      </c>
    </row>
    <row r="37">
      <c r="A37" s="283" t="n">
        <v>44641</v>
      </c>
      <c r="B37" s="324" t="s">
        <v>3247</v>
      </c>
      <c r="C37" s="306" t="n">
        <v>3029</v>
      </c>
      <c r="D37" s="306" t="n">
        <v>15000</v>
      </c>
      <c r="E37" s="306" t="n">
        <v>42000</v>
      </c>
      <c r="F37" s="306" t="n">
        <v>31000</v>
      </c>
      <c r="G37" s="306" t="n">
        <v>52974</v>
      </c>
      <c r="H37" s="306" t="n">
        <v>77903</v>
      </c>
      <c r="I37" s="306" t="n">
        <v>10010</v>
      </c>
      <c r="J37" s="306" t="n">
        <v>1367</v>
      </c>
      <c r="K37" s="325">
        <f>SUM(A37:J37)</f>
      </c>
      <c r="L37" s="314" t="n">
        <f>SUM(B37:K37)</f>
        <v>511207</v>
      </c>
      <c r="M37" s="314" t="n">
        <f>SUM(C37:L37)</f>
        <v>1022414</v>
      </c>
    </row>
    <row r="38">
      <c r="A38" s="283" t="n">
        <v>44634</v>
      </c>
      <c r="B38" s="305" t="s">
        <v>3248</v>
      </c>
      <c r="C38" s="306" t="n">
        <v>1918</v>
      </c>
      <c r="D38" s="306" t="n">
        <v>16000</v>
      </c>
      <c r="E38" s="306" t="n">
        <v>6107</v>
      </c>
      <c r="F38" s="306" t="n">
        <v>730</v>
      </c>
      <c r="G38" s="306" t="n">
        <v>1639</v>
      </c>
      <c r="H38" s="306" t="n">
        <v>3685</v>
      </c>
      <c r="I38" s="306" t="n">
        <v>6272</v>
      </c>
      <c r="J38" s="306" t="n">
        <v>1073</v>
      </c>
      <c r="K38" s="327">
        <f>SUM(A38:J38)</f>
      </c>
      <c r="L38" s="307" t="n">
        <f>SUM(B38:K38)</f>
        <v>119482</v>
      </c>
      <c r="M38" s="307" t="n">
        <f>SUM(C38:L38)</f>
        <v>238964</v>
      </c>
    </row>
    <row r="39">
      <c r="A39" s="283" t="n">
        <v>44631</v>
      </c>
      <c r="B39" s="305" t="s">
        <v>3249</v>
      </c>
      <c r="C39" s="306" t="n">
        <v>17000</v>
      </c>
      <c r="D39" s="306" t="n">
        <v>25000</v>
      </c>
      <c r="E39" s="306" t="n">
        <v>50000</v>
      </c>
      <c r="F39" s="263" t="n">
        <v>124000</v>
      </c>
      <c r="G39" s="306" t="n">
        <v>2536</v>
      </c>
      <c r="H39" s="306" t="n">
        <v>7226</v>
      </c>
      <c r="I39" s="306" t="n">
        <v>8846</v>
      </c>
      <c r="J39" s="306" t="n">
        <v>2540</v>
      </c>
      <c r="K39" s="325">
        <f>SUM(A39:J39)</f>
      </c>
      <c r="L39" s="314" t="n">
        <f>SUM(B39:K39)</f>
        <v>518927</v>
      </c>
      <c r="M39" s="314" t="n">
        <f>SUM(C39:L39)</f>
        <v>1037854</v>
      </c>
    </row>
    <row r="40"/>
    <row r="41">
      <c r="A41" s="4"/>
      <c r="B41" s="4"/>
      <c r="C41" s="4" t="s">
        <v>3250</v>
      </c>
      <c r="D41" s="4" t="s">
        <v>3251</v>
      </c>
      <c r="E41" s="4" t="s">
        <v>3252</v>
      </c>
      <c r="F41" s="4" t="s">
        <v>3253</v>
      </c>
      <c r="G41" s="4" t="s">
        <v>3254</v>
      </c>
      <c r="H41" s="4" t="s">
        <v>3255</v>
      </c>
      <c r="I41" s="4" t="s">
        <v>3256</v>
      </c>
      <c r="J41" s="4" t="s">
        <v>3257</v>
      </c>
      <c r="K41" s="4" t="s">
        <v>3258</v>
      </c>
      <c r="L41" s="4" t="s">
        <v>3259</v>
      </c>
      <c r="M41" s="4" t="s">
        <v>3260</v>
      </c>
    </row>
    <row r="42">
      <c r="A42" s="4" t="s">
        <v>3261</v>
      </c>
      <c r="B42" s="47" t="s">
        <v>3262</v>
      </c>
      <c r="C42" s="328" t="n">
        <v>18293</v>
      </c>
      <c r="D42" s="329" t="n">
        <v>6571</v>
      </c>
      <c r="E42" s="329" t="n">
        <v>144000</v>
      </c>
      <c r="F42" s="329" t="n">
        <v>196000</v>
      </c>
      <c r="G42" s="329" t="n">
        <v>412000</v>
      </c>
      <c r="H42" s="329" t="n">
        <v>239664</v>
      </c>
      <c r="I42" s="329" t="n">
        <v>2700</v>
      </c>
      <c r="J42" s="330" t="n">
        <v>218514</v>
      </c>
      <c r="K42" s="263" t="n">
        <v>876818</v>
      </c>
      <c r="L42" s="263" t="n">
        <v>542159</v>
      </c>
      <c r="M42" s="260" t="n">
        <v>51963</v>
      </c>
    </row>
    <row r="43">
      <c r="A43" s="4" t="s">
        <v>3263</v>
      </c>
      <c r="B43" s="47" t="s">
        <v>3264</v>
      </c>
      <c r="C43" s="329" t="n">
        <v>42352</v>
      </c>
      <c r="D43" s="329" t="n">
        <v>11000</v>
      </c>
      <c r="E43" s="329" t="n">
        <v>279000</v>
      </c>
      <c r="F43" s="329" t="n">
        <v>321000</v>
      </c>
      <c r="G43" s="329" t="n">
        <v>454000</v>
      </c>
      <c r="H43" s="329" t="n">
        <v>370000</v>
      </c>
      <c r="I43" s="329" t="n">
        <v>3116</v>
      </c>
      <c r="J43" s="331" t="n">
        <v>96347</v>
      </c>
      <c r="K43" s="263" t="n">
        <v>1131097</v>
      </c>
      <c r="L43" s="260" t="n">
        <v>264459</v>
      </c>
      <c r="M43" s="260" t="n">
        <v>80604</v>
      </c>
    </row>
    <row r="44"/>
    <row r="45"/>
    <row r="46">
      <c r="A46" s="332" t="s">
        <v>3265</v>
      </c>
      <c r="B46" s="333" t="s">
        <v>3266</v>
      </c>
      <c r="C46" s="334" t="s">
        <v>3267</v>
      </c>
      <c r="D46" s="300" t="s">
        <v>3268</v>
      </c>
      <c r="E46" s="300"/>
      <c r="F46" s="300" t="s">
        <v>3269</v>
      </c>
      <c r="G46" s="300"/>
      <c r="H46" s="300"/>
      <c r="I46" s="300"/>
      <c r="J46" s="300" t="s">
        <v>3270</v>
      </c>
      <c r="K46" s="300"/>
      <c r="L46" s="300"/>
      <c r="M46" s="300"/>
      <c r="N46" s="300" t="s">
        <v>3271</v>
      </c>
      <c r="O46" s="300"/>
      <c r="P46" s="300"/>
      <c r="Q46" s="300"/>
      <c r="R46" s="300"/>
      <c r="S46" s="301" t="s">
        <v>3272</v>
      </c>
      <c r="T46" s="301"/>
      <c r="U46" s="301"/>
      <c r="V46" s="301"/>
      <c r="W46" s="278" t="s">
        <v>3273</v>
      </c>
      <c r="X46" s="278"/>
      <c r="Y46" s="302" t="s">
        <v>3274</v>
      </c>
      <c r="Z46" s="302" t="s">
        <v>3275</v>
      </c>
      <c r="AA46" s="302" t="s">
        <v>3276</v>
      </c>
      <c r="AB46" s="302" t="s">
        <v>3277</v>
      </c>
      <c r="AC46" s="302" t="s">
        <v>3278</v>
      </c>
      <c r="AD46" s="303" t="s">
        <v>3279</v>
      </c>
      <c r="AE46" s="303" t="s">
        <v>3280</v>
      </c>
      <c r="AF46" s="304"/>
    </row>
    <row r="47" ht="21" customHeight="1">
      <c r="A47" s="332"/>
      <c r="B47" s="333"/>
      <c r="C47" s="332" t="s">
        <v>3281</v>
      </c>
      <c r="D47" s="300" t="s">
        <v>3282</v>
      </c>
      <c r="E47" s="300" t="s">
        <v>3283</v>
      </c>
      <c r="F47" s="301" t="s">
        <v>3284</v>
      </c>
      <c r="G47" s="300" t="s">
        <v>3285</v>
      </c>
      <c r="H47" s="300" t="s">
        <v>3286</v>
      </c>
      <c r="I47" s="300" t="s">
        <v>3287</v>
      </c>
      <c r="J47" s="301" t="s">
        <v>3288</v>
      </c>
      <c r="K47" s="300" t="s">
        <v>3289</v>
      </c>
      <c r="L47" s="300" t="s">
        <v>3290</v>
      </c>
      <c r="M47" s="300" t="s">
        <v>3291</v>
      </c>
      <c r="N47" s="301" t="s">
        <v>3292</v>
      </c>
      <c r="O47" s="300" t="s">
        <v>3293</v>
      </c>
      <c r="P47" s="300" t="s">
        <v>3294</v>
      </c>
      <c r="Q47" s="300" t="s">
        <v>3295</v>
      </c>
      <c r="R47" s="300" t="s">
        <v>3296</v>
      </c>
      <c r="S47" s="301" t="s">
        <v>3297</v>
      </c>
      <c r="T47" s="300" t="s">
        <v>3298</v>
      </c>
      <c r="U47" s="301" t="s">
        <v>3299</v>
      </c>
      <c r="V47" s="301" t="s">
        <v>3300</v>
      </c>
      <c r="W47" s="277" t="s">
        <v>3301</v>
      </c>
      <c r="X47" s="277" t="s">
        <v>3302</v>
      </c>
      <c r="Y47" s="301" t="s">
        <v>3303</v>
      </c>
      <c r="Z47" s="301" t="s">
        <v>3304</v>
      </c>
      <c r="AA47" s="301" t="s">
        <v>3305</v>
      </c>
      <c r="AB47" s="301" t="s">
        <v>3306</v>
      </c>
      <c r="AC47" s="301" t="s">
        <v>3307</v>
      </c>
      <c r="AD47" s="303" t="s">
        <v>3308</v>
      </c>
      <c r="AE47" s="303"/>
      <c r="AF47" s="304"/>
    </row>
    <row r="48" ht="25.5" customHeight="1">
      <c r="A48" s="335"/>
      <c r="B48" s="336" t="n">
        <v>44502</v>
      </c>
      <c r="C48" s="337" t="s">
        <v>3309</v>
      </c>
      <c r="D48" s="316"/>
      <c r="E48" s="316"/>
      <c r="F48" s="309" t="n">
        <v>339</v>
      </c>
      <c r="G48" s="316" t="n">
        <v>11</v>
      </c>
      <c r="H48" s="316" t="n">
        <v>8</v>
      </c>
      <c r="I48" s="316" t="n">
        <v>4</v>
      </c>
      <c r="J48" s="309" t="n">
        <v>2281</v>
      </c>
      <c r="K48" s="316" t="n">
        <v>44</v>
      </c>
      <c r="L48" s="316" t="n">
        <v>6</v>
      </c>
      <c r="M48" s="316" t="n">
        <v>50</v>
      </c>
      <c r="N48" s="309" t="n">
        <v>3900</v>
      </c>
      <c r="O48" s="316" t="n">
        <v>44</v>
      </c>
      <c r="P48" s="316" t="n">
        <v>2</v>
      </c>
      <c r="Q48" s="309" t="n">
        <v>2</v>
      </c>
      <c r="R48" s="289" t="n">
        <v>0.0005</v>
      </c>
      <c r="S48" s="309" t="n">
        <v>380917</v>
      </c>
      <c r="T48" s="316" t="n">
        <v>541</v>
      </c>
      <c r="U48" s="309" t="n">
        <v>28</v>
      </c>
      <c r="V48" s="309"/>
      <c r="W48" s="309"/>
      <c r="X48" s="309"/>
      <c r="Y48" s="309" t="n">
        <v>39</v>
      </c>
      <c r="Z48" s="309" t="n">
        <v>742</v>
      </c>
      <c r="AA48" s="309" t="n">
        <v>552</v>
      </c>
      <c r="AB48" s="309" t="n">
        <v>6354</v>
      </c>
      <c r="AC48" s="309"/>
      <c r="AD48" s="311" t="n">
        <v>1497</v>
      </c>
      <c r="AE48" s="82"/>
      <c r="AF48" s="312"/>
    </row>
    <row r="49" ht="25.5" customHeight="1">
      <c r="A49" s="335"/>
      <c r="B49" s="336" t="n">
        <v>44491</v>
      </c>
      <c r="C49" s="205" t="s">
        <v>3310</v>
      </c>
      <c r="D49" s="316"/>
      <c r="E49" s="316"/>
      <c r="F49" s="309" t="n">
        <v>6642</v>
      </c>
      <c r="G49" s="316" t="n">
        <v>13</v>
      </c>
      <c r="H49" s="316" t="n">
        <v>3</v>
      </c>
      <c r="I49" s="316" t="n">
        <v>11</v>
      </c>
      <c r="J49" s="309" t="n">
        <v>7678</v>
      </c>
      <c r="K49" s="316" t="n">
        <v>163</v>
      </c>
      <c r="L49" s="316" t="n">
        <v>17</v>
      </c>
      <c r="M49" s="316" t="n">
        <v>167</v>
      </c>
      <c r="N49" s="309" t="n">
        <v>100000</v>
      </c>
      <c r="O49" s="316" t="n">
        <v>2400</v>
      </c>
      <c r="P49" s="316" t="n">
        <v>84</v>
      </c>
      <c r="Q49" s="316"/>
      <c r="R49" s="316"/>
      <c r="S49" s="309" t="n">
        <v>649000</v>
      </c>
      <c r="T49" s="316" t="n">
        <v>880</v>
      </c>
      <c r="U49" s="309" t="n">
        <v>38</v>
      </c>
      <c r="V49" s="309"/>
      <c r="W49" s="309"/>
      <c r="X49" s="309"/>
      <c r="Y49" s="309" t="n">
        <v>139</v>
      </c>
      <c r="Z49" s="309" t="n">
        <v>17115</v>
      </c>
      <c r="AA49" s="309" t="n">
        <v>14000</v>
      </c>
      <c r="AB49" s="309" t="n">
        <v>22000</v>
      </c>
      <c r="AC49" s="309"/>
      <c r="AD49" s="311" t="n">
        <v>1660</v>
      </c>
      <c r="AE49" s="82"/>
      <c r="AF49" s="312"/>
    </row>
    <row r="50" ht="25.5" customHeight="1">
      <c r="A50" s="335"/>
      <c r="B50" s="336" t="n">
        <v>44449</v>
      </c>
      <c r="C50" s="337" t="s">
        <v>3311</v>
      </c>
      <c r="D50" s="316"/>
      <c r="E50" s="316"/>
      <c r="F50" s="309" t="n">
        <v>17000</v>
      </c>
      <c r="G50" s="316" t="n">
        <v>349</v>
      </c>
      <c r="H50" s="316" t="n">
        <v>78</v>
      </c>
      <c r="I50" s="316" t="n">
        <v>27</v>
      </c>
      <c r="J50" s="309" t="n">
        <v>6106</v>
      </c>
      <c r="K50" s="316" t="n">
        <v>22</v>
      </c>
      <c r="L50" s="316" t="n">
        <v>1</v>
      </c>
      <c r="M50" s="316" t="n">
        <v>26</v>
      </c>
      <c r="N50" s="309" t="n">
        <v>4800</v>
      </c>
      <c r="O50" s="316" t="n">
        <v>42</v>
      </c>
      <c r="P50" s="316" t="n">
        <v>2</v>
      </c>
      <c r="Q50" s="316"/>
      <c r="R50" s="316"/>
      <c r="S50" s="317" t="n">
        <v>116173</v>
      </c>
      <c r="T50" s="316" t="n">
        <v>188</v>
      </c>
      <c r="U50" s="309" t="n">
        <v>7</v>
      </c>
      <c r="V50" s="309"/>
      <c r="W50" s="309"/>
      <c r="X50" s="309"/>
      <c r="Y50" s="309" t="n">
        <v>510</v>
      </c>
      <c r="Z50" s="338" t="n">
        <v>24839</v>
      </c>
      <c r="AA50" s="338" t="n">
        <v>269</v>
      </c>
      <c r="AB50" s="339" t="n">
        <v>2465</v>
      </c>
      <c r="AC50" s="339"/>
      <c r="AD50" s="311" t="n">
        <v>3008</v>
      </c>
      <c r="AE50" s="82"/>
      <c r="AF50" s="312"/>
    </row>
    <row r="51" ht="25.5" customHeight="1">
      <c r="A51" s="335"/>
      <c r="B51" s="336" t="n">
        <v>44421</v>
      </c>
      <c r="C51" s="337" t="s">
        <v>3312</v>
      </c>
      <c r="D51" s="316" t="n">
        <v>25000</v>
      </c>
      <c r="E51" s="316" t="n">
        <v>4364</v>
      </c>
      <c r="F51" s="309" t="n">
        <v>264000</v>
      </c>
      <c r="G51" s="316" t="n">
        <v>3128</v>
      </c>
      <c r="H51" s="316" t="n">
        <v>1880</v>
      </c>
      <c r="I51" s="316" t="n">
        <v>4015</v>
      </c>
      <c r="J51" s="309" t="n">
        <v>9520</v>
      </c>
      <c r="K51" s="316" t="n">
        <v>112</v>
      </c>
      <c r="L51" s="316" t="n">
        <v>12</v>
      </c>
      <c r="M51" s="316" t="n">
        <v>308</v>
      </c>
      <c r="N51" s="309" t="n">
        <v>6800</v>
      </c>
      <c r="O51" s="316" t="n">
        <v>33</v>
      </c>
      <c r="P51" s="316" t="n">
        <v>5</v>
      </c>
      <c r="Q51" s="316"/>
      <c r="R51" s="316"/>
      <c r="S51" s="309" t="n">
        <v>22620</v>
      </c>
      <c r="T51" s="316" t="n">
        <v>92</v>
      </c>
      <c r="U51" s="309" t="n">
        <v>14</v>
      </c>
      <c r="V51" s="309"/>
      <c r="W51" s="309"/>
      <c r="X51" s="309"/>
      <c r="Y51" s="309" t="n">
        <v>1078</v>
      </c>
      <c r="Z51" s="338" t="n">
        <v>506721</v>
      </c>
      <c r="AA51" s="338" t="n">
        <v>127000</v>
      </c>
      <c r="AB51" s="339" t="s">
        <v>3313</v>
      </c>
      <c r="AC51" s="339"/>
      <c r="AD51" s="311" t="n">
        <v>2043</v>
      </c>
      <c r="AE51" s="82"/>
      <c r="AF51" s="312"/>
    </row>
    <row r="52"/>
    <row r="53"/>
    <row r="54">
      <c r="C54" s="223"/>
      <c r="D54" s="223"/>
      <c r="E54" s="223" t="s">
        <v>3314</v>
      </c>
      <c r="F54" s="223" t="s">
        <v>3315</v>
      </c>
      <c r="G54" s="223" t="s">
        <v>3316</v>
      </c>
      <c r="H54" s="223" t="s">
        <v>3317</v>
      </c>
      <c r="I54" s="223" t="s">
        <v>3318</v>
      </c>
      <c r="J54" s="223" t="s">
        <v>3319</v>
      </c>
      <c r="K54" s="223" t="s">
        <v>3320</v>
      </c>
      <c r="L54" s="223" t="s">
        <v>3321</v>
      </c>
      <c r="M54" s="223" t="s">
        <v>3322</v>
      </c>
      <c r="N54" s="223" t="s">
        <v>3323</v>
      </c>
      <c r="O54" s="223" t="s">
        <v>3324</v>
      </c>
      <c r="P54" s="223"/>
      <c r="Q54" s="223"/>
      <c r="R54" s="223" t="s">
        <v>3325</v>
      </c>
      <c r="S54" s="223" t="s">
        <v>3326</v>
      </c>
      <c r="T54" s="223" t="s">
        <v>3327</v>
      </c>
      <c r="U54" s="223" t="s">
        <v>3328</v>
      </c>
      <c r="V54" s="223" t="s">
        <v>3329</v>
      </c>
      <c r="W54" s="223" t="s">
        <v>3330</v>
      </c>
      <c r="X54" s="223" t="s">
        <v>3331</v>
      </c>
      <c r="Y54" s="223" t="s">
        <v>3332</v>
      </c>
      <c r="Z54" s="223" t="s">
        <v>3333</v>
      </c>
      <c r="AA54" s="223" t="s">
        <v>3334</v>
      </c>
      <c r="AB54" s="223"/>
      <c r="AC54" s="223"/>
      <c r="AD54" s="223"/>
      <c r="AE54" s="223"/>
      <c r="AF54" s="223"/>
      <c r="AG54" s="223"/>
      <c r="AH54" s="3"/>
      <c r="AI54" s="3"/>
      <c r="AJ54" s="3"/>
      <c r="AK54" s="3"/>
    </row>
    <row r="55">
      <c r="C55" s="223" t="s">
        <v>3335</v>
      </c>
      <c r="D55" s="223" t="s">
        <v>3336</v>
      </c>
      <c r="E55" s="340" t="n">
        <v>439660</v>
      </c>
      <c r="F55" s="340" t="n">
        <v>397416</v>
      </c>
      <c r="G55" s="340" t="n">
        <v>2753000</v>
      </c>
      <c r="H55" s="340" t="n">
        <v>30980000</v>
      </c>
      <c r="I55" s="340" t="n">
        <v>9411000</v>
      </c>
      <c r="J55" s="340" t="n">
        <v>2654638</v>
      </c>
      <c r="K55" s="340" t="n">
        <v>31200</v>
      </c>
      <c r="L55" s="340" t="n">
        <v>2398063</v>
      </c>
      <c r="M55" s="340" t="n">
        <v>4485965</v>
      </c>
      <c r="N55" s="340" t="n">
        <v>2949757</v>
      </c>
      <c r="O55" s="340" t="n">
        <v>534207</v>
      </c>
      <c r="P55" s="223" t="n">
        <f>SUM(E55:O55)</f>
        <v>57034906</v>
      </c>
      <c r="Q55" s="223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G55" s="223"/>
      <c r="AH55" s="3"/>
      <c r="AI55" s="3"/>
      <c r="AJ55" s="3"/>
      <c r="AK55" s="3"/>
    </row>
    <row r="56">
      <c r="C56" s="223"/>
      <c r="D56" s="223" t="s">
        <v>3337</v>
      </c>
      <c r="E56" s="340" t="n">
        <v>-27</v>
      </c>
      <c r="F56" s="340" t="n">
        <v>1328</v>
      </c>
      <c r="G56" s="340" t="n">
        <v>1917</v>
      </c>
      <c r="H56" s="340" t="n">
        <v>56000</v>
      </c>
      <c r="I56" s="340" t="n">
        <v>20000</v>
      </c>
      <c r="J56" s="340" t="n">
        <v>34000</v>
      </c>
      <c r="K56" s="340" t="n">
        <v>55</v>
      </c>
      <c r="L56" s="340" t="n">
        <v>17416</v>
      </c>
      <c r="M56" s="340" t="n">
        <v>12233</v>
      </c>
      <c r="N56" s="340" t="n">
        <v>4191</v>
      </c>
      <c r="O56" s="340" t="n">
        <v>357</v>
      </c>
      <c r="P56" s="223" t="n">
        <f>SUM(E56:O56)</f>
        <v>147470</v>
      </c>
      <c r="Q56" s="223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G56" s="223"/>
      <c r="AH56" s="3"/>
      <c r="AI56" s="3"/>
      <c r="AJ56" s="3"/>
      <c r="AK56" s="3"/>
    </row>
    <row r="57"/>
    <row r="58"/>
    <row r="59"/>
    <row r="60">
      <c r="H60" s="3" t="n">
        <v>2023</v>
      </c>
      <c r="I60" s="3" t="n">
        <v>2022</v>
      </c>
      <c r="J60" s="223" t="s">
        <v>3338</v>
      </c>
      <c r="K60" s="341" t="s">
        <v>3339</v>
      </c>
    </row>
    <row r="61">
      <c r="G61" s="223" t="s">
        <v>3340</v>
      </c>
      <c r="H61" s="3" t="n">
        <v>1979498</v>
      </c>
      <c r="I61" s="3" t="n">
        <v>1889454</v>
      </c>
      <c r="J61" s="3" t="n">
        <f>H61-I61</f>
        <v>90044</v>
      </c>
      <c r="K61" s="342">
        <f>J61/I61</f>
      </c>
    </row>
    <row r="62">
      <c r="G62" s="4" t="s">
        <v>3341</v>
      </c>
      <c r="H62" s="8" t="n">
        <v>1620000</v>
      </c>
      <c r="I62" s="340" t="n">
        <v>1627000</v>
      </c>
      <c r="J62" s="3" t="n">
        <f>H62-I62</f>
        <v>-7000</v>
      </c>
      <c r="K62" s="342">
        <f>J62/I62</f>
      </c>
    </row>
    <row r="63">
      <c r="G63" s="4" t="s">
        <v>3342</v>
      </c>
      <c r="H63" s="8" t="n">
        <v>26360</v>
      </c>
      <c r="I63" s="340" t="n">
        <v>8500</v>
      </c>
      <c r="J63" s="3" t="n">
        <f>H63-I63</f>
        <v>17860</v>
      </c>
      <c r="K63" s="342">
        <f>J63/I63</f>
      </c>
    </row>
    <row r="64">
      <c r="G64" s="4" t="s">
        <v>3343</v>
      </c>
      <c r="H64" s="8" t="n">
        <v>50776</v>
      </c>
      <c r="I64" s="340" t="n">
        <v>24955</v>
      </c>
      <c r="J64" s="3" t="n">
        <f>H64-I64</f>
        <v>25821</v>
      </c>
      <c r="K64" s="342">
        <f>J64/I64</f>
      </c>
    </row>
    <row r="65">
      <c r="G65" s="4" t="s">
        <v>3344</v>
      </c>
      <c r="H65" s="8" t="n">
        <v>247000</v>
      </c>
      <c r="I65" s="340" t="n">
        <v>118000</v>
      </c>
      <c r="J65" s="3" t="n">
        <f>H65-I65</f>
        <v>129000</v>
      </c>
      <c r="K65" s="342">
        <f>J65/I65</f>
      </c>
    </row>
    <row r="66">
      <c r="G66" s="4" t="s">
        <v>3345</v>
      </c>
      <c r="H66" s="8" t="n">
        <v>126000</v>
      </c>
      <c r="I66" s="340" t="n">
        <v>58000</v>
      </c>
      <c r="J66" s="3" t="n">
        <f>H66-I66</f>
        <v>68000</v>
      </c>
      <c r="K66" s="342">
        <f>J66/I66</f>
      </c>
    </row>
    <row r="67">
      <c r="G67" s="4" t="s">
        <v>3346</v>
      </c>
      <c r="H67" s="8" t="n">
        <v>133000</v>
      </c>
      <c r="I67" s="340" t="n">
        <v>2250</v>
      </c>
      <c r="J67" s="3" t="n">
        <f>H67-I67</f>
        <v>130750</v>
      </c>
      <c r="K67" s="342">
        <f>J67/I67</f>
      </c>
    </row>
    <row r="68">
      <c r="G68" s="4" t="s">
        <v>3347</v>
      </c>
      <c r="H68" s="9" t="n">
        <v>950303</v>
      </c>
      <c r="I68" s="343" t="n">
        <v>888255</v>
      </c>
      <c r="J68" s="344" t="n">
        <f>H68-I68</f>
        <v>62048</v>
      </c>
      <c r="K68" s="342">
        <f>J68/I68</f>
      </c>
    </row>
    <row r="69">
      <c r="G69" s="4" t="s">
        <v>3348</v>
      </c>
      <c r="H69" s="8" t="n">
        <v>121939</v>
      </c>
      <c r="I69" s="343" t="n">
        <v>78853</v>
      </c>
      <c r="J69" s="3" t="n">
        <f>H69-I69</f>
        <v>43086</v>
      </c>
      <c r="K69" s="342">
        <f>J69/I69</f>
      </c>
    </row>
    <row r="70">
      <c r="G70" s="4" t="s">
        <v>3349</v>
      </c>
      <c r="H70" s="8" t="n">
        <v>363844</v>
      </c>
      <c r="I70" s="343" t="n">
        <v>344193</v>
      </c>
      <c r="J70" s="3" t="n">
        <f>H70-I70</f>
        <v>19651</v>
      </c>
      <c r="K70" s="342">
        <f>J70/I70</f>
      </c>
    </row>
    <row r="71">
      <c r="G71" s="4" t="s">
        <v>3350</v>
      </c>
      <c r="H71" s="8" t="n">
        <v>84924</v>
      </c>
      <c r="I71" s="343" t="n">
        <v>82697</v>
      </c>
      <c r="J71" s="3" t="n">
        <f>H71-I71</f>
        <v>2227</v>
      </c>
      <c r="K71" s="342">
        <f>J71/I71</f>
      </c>
    </row>
    <row r="72">
      <c r="I72" s="340" t="n">
        <v>372</v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mergeCells count="27">
    <mergeCell ref="A1:A2"/>
    <mergeCell ref="W1:X1"/>
    <mergeCell ref="AE1:AE2"/>
    <mergeCell ref="A11:A12"/>
    <mergeCell ref="M11:M12"/>
    <mergeCell ref="N11:O11"/>
    <mergeCell ref="X11:Y11"/>
    <mergeCell ref="AF11:AF12"/>
    <mergeCell ref="A23:A24"/>
    <mergeCell ref="L23:L24"/>
    <mergeCell ref="N23:O23"/>
    <mergeCell ref="U23:V23"/>
    <mergeCell ref="AB23:AB24"/>
    <mergeCell ref="A32:A33"/>
    <mergeCell ref="J32:J33"/>
    <mergeCell ref="K32:K33"/>
    <mergeCell ref="L32:L33"/>
    <mergeCell ref="M32:M33"/>
    <mergeCell ref="A46:A47"/>
    <mergeCell ref="B46:B47"/>
    <mergeCell ref="D46:E46"/>
    <mergeCell ref="F46:I46"/>
    <mergeCell ref="J46:M46"/>
    <mergeCell ref="N46:R46"/>
    <mergeCell ref="S46:V46"/>
    <mergeCell ref="W46:X46"/>
    <mergeCell ref="AE46:AE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4.14" customWidth="1"/>
    <col min="2" max="2" width="58.49" customWidth="1"/>
    <col min="3" max="3" width="11" customWidth="1"/>
    <col min="4" max="4" width="11.7" customWidth="1"/>
    <col min="5" max="12" width="16.59" customWidth="1"/>
    <col min="13" max="13" width="14.67" customWidth="1"/>
    <col min="14" max="14" width="16.59" customWidth="1"/>
  </cols>
  <sheetData>
    <row r="1">
      <c r="A1" s="3"/>
      <c r="B1" s="3"/>
      <c r="C1" s="3"/>
      <c r="D1" s="3"/>
      <c r="N1" s="3"/>
    </row>
    <row r="2">
      <c r="A2" s="74" t="s">
        <v>3351</v>
      </c>
      <c r="B2" s="73" t="s">
        <v>3352</v>
      </c>
      <c r="C2" s="76" t="s">
        <v>3353</v>
      </c>
      <c r="D2" s="74" t="s">
        <v>3354</v>
      </c>
      <c r="E2" s="74" t="s">
        <v>3355</v>
      </c>
      <c r="F2" s="74" t="s">
        <v>3356</v>
      </c>
      <c r="G2" s="74" t="s">
        <v>3357</v>
      </c>
      <c r="H2" s="74" t="s">
        <v>3358</v>
      </c>
      <c r="I2" s="74" t="s">
        <v>3359</v>
      </c>
      <c r="J2" s="74" t="s">
        <v>3360</v>
      </c>
      <c r="K2" s="74" t="s">
        <v>3361</v>
      </c>
      <c r="L2" s="74" t="s">
        <v>3362</v>
      </c>
      <c r="M2" s="76" t="s">
        <v>3363</v>
      </c>
      <c r="N2" s="3"/>
    </row>
    <row r="3" ht="21" customHeight="1">
      <c r="A3" s="74"/>
      <c r="B3" s="73" t="s">
        <v>3364</v>
      </c>
      <c r="C3" s="76"/>
      <c r="D3" s="74" t="s">
        <v>3365</v>
      </c>
      <c r="E3" s="74" t="s">
        <v>3366</v>
      </c>
      <c r="F3" s="74" t="s">
        <v>3367</v>
      </c>
      <c r="G3" s="75" t="s">
        <v>3368</v>
      </c>
      <c r="H3" s="74" t="s">
        <v>3369</v>
      </c>
      <c r="I3" s="74" t="s">
        <v>3370</v>
      </c>
      <c r="J3" s="74" t="s">
        <v>3371</v>
      </c>
      <c r="K3" s="74" t="s">
        <v>3372</v>
      </c>
      <c r="L3" s="74" t="s">
        <v>3373</v>
      </c>
      <c r="M3" s="76" t="s">
        <v>3374</v>
      </c>
      <c r="N3" s="3"/>
    </row>
    <row r="4" ht="25.5" customHeight="1">
      <c r="A4" s="345" t="n">
        <v>45029</v>
      </c>
      <c r="B4" s="346" t="s">
        <v>3375</v>
      </c>
      <c r="C4" s="347" t="n">
        <v>53316</v>
      </c>
      <c r="D4" s="348" t="n">
        <v>16112</v>
      </c>
      <c r="E4" s="349" t="n">
        <v>13000</v>
      </c>
      <c r="F4" s="350" t="n">
        <v>1561</v>
      </c>
      <c r="G4" s="351" t="n">
        <v>7025</v>
      </c>
      <c r="H4" s="9" t="n">
        <v>1779</v>
      </c>
      <c r="I4" s="349" t="n">
        <v>1369</v>
      </c>
      <c r="J4" s="350" t="n">
        <v>1882</v>
      </c>
      <c r="K4" s="349" t="n">
        <v>6333</v>
      </c>
      <c r="L4" s="350" t="n">
        <v>4136</v>
      </c>
      <c r="M4" s="81" t="n">
        <v>119</v>
      </c>
      <c r="N4" s="3"/>
    </row>
    <row r="5" ht="25.5" customHeight="1">
      <c r="A5" s="345" t="n">
        <v>45028</v>
      </c>
      <c r="B5" s="346" t="s">
        <v>3376</v>
      </c>
      <c r="C5" s="347" t="n">
        <v>417872</v>
      </c>
      <c r="D5" s="349" t="n">
        <v>132927</v>
      </c>
      <c r="E5" s="349" t="n">
        <v>155000</v>
      </c>
      <c r="F5" s="350" t="n">
        <v>26471</v>
      </c>
      <c r="G5" s="351" t="n">
        <v>3679</v>
      </c>
      <c r="H5" s="9" t="n">
        <v>1511</v>
      </c>
      <c r="I5" s="349" t="n">
        <v>1379</v>
      </c>
      <c r="J5" s="350" t="n">
        <v>6764</v>
      </c>
      <c r="K5" s="349" t="n">
        <v>5101</v>
      </c>
      <c r="L5" s="350" t="n">
        <v>83319</v>
      </c>
      <c r="M5" s="81" t="n">
        <v>1721</v>
      </c>
      <c r="N5" s="3"/>
    </row>
    <row r="6" ht="25.5" customHeight="1">
      <c r="A6" s="345" t="n">
        <v>45027</v>
      </c>
      <c r="B6" s="346" t="s">
        <v>3377</v>
      </c>
      <c r="C6" s="347" t="n">
        <v>63111</v>
      </c>
      <c r="D6" s="349" t="n">
        <v>26077</v>
      </c>
      <c r="E6" s="349" t="n">
        <v>11000</v>
      </c>
      <c r="F6" s="350" t="n">
        <v>7228</v>
      </c>
      <c r="G6" s="351" t="n">
        <v>12221</v>
      </c>
      <c r="H6" s="9" t="n">
        <v>1416</v>
      </c>
      <c r="I6" s="349" t="n">
        <v>1136</v>
      </c>
      <c r="J6" s="350" t="n">
        <v>1571</v>
      </c>
      <c r="K6" s="349" t="n">
        <v>660</v>
      </c>
      <c r="L6" s="350" t="n">
        <v>518</v>
      </c>
      <c r="M6" s="81" t="n">
        <v>1284</v>
      </c>
      <c r="N6" s="3"/>
    </row>
    <row r="7" ht="25.5" customHeight="1">
      <c r="A7" s="345" t="n">
        <v>45026</v>
      </c>
      <c r="B7" s="346" t="s">
        <v>3378</v>
      </c>
      <c r="C7" s="347" t="n">
        <v>233119</v>
      </c>
      <c r="D7" s="349" t="n">
        <v>83484</v>
      </c>
      <c r="E7" s="349" t="n">
        <v>25000</v>
      </c>
      <c r="F7" s="350" t="n">
        <v>11466</v>
      </c>
      <c r="G7" s="351" t="n">
        <v>9118</v>
      </c>
      <c r="H7" s="9" t="n">
        <v>2588</v>
      </c>
      <c r="I7" s="349" t="n">
        <v>2688</v>
      </c>
      <c r="J7" s="350" t="n">
        <v>3728</v>
      </c>
      <c r="K7" s="349" t="n">
        <v>60273</v>
      </c>
      <c r="L7" s="350" t="n">
        <v>32319</v>
      </c>
      <c r="M7" s="81" t="n">
        <v>2455</v>
      </c>
      <c r="N7" s="3"/>
    </row>
    <row r="8" ht="25.5" customHeight="1">
      <c r="A8" s="345" t="n">
        <v>45023</v>
      </c>
      <c r="B8" s="346" t="s">
        <v>3379</v>
      </c>
      <c r="C8" s="347" t="n">
        <v>226199</v>
      </c>
      <c r="D8" s="349" t="n">
        <v>44896</v>
      </c>
      <c r="E8" s="349" t="n">
        <v>15000</v>
      </c>
      <c r="F8" s="350" t="n">
        <v>10764</v>
      </c>
      <c r="G8" s="351" t="n">
        <v>21817</v>
      </c>
      <c r="H8" s="9" t="n">
        <v>1639</v>
      </c>
      <c r="I8" s="349" t="n">
        <v>6442</v>
      </c>
      <c r="J8" s="350" t="n">
        <v>3152</v>
      </c>
      <c r="K8" s="349" t="n">
        <v>44505</v>
      </c>
      <c r="L8" s="350" t="n">
        <v>76319</v>
      </c>
      <c r="M8" s="81" t="n">
        <v>1665</v>
      </c>
      <c r="N8" s="3"/>
    </row>
    <row r="9">
      <c r="A9" s="3"/>
      <c r="B9" s="3"/>
      <c r="C9" s="3"/>
      <c r="D9" s="3"/>
      <c r="N9" s="3"/>
    </row>
    <row r="10">
      <c r="A10" s="3"/>
      <c r="B10" s="3"/>
      <c r="C10" s="3"/>
      <c r="D10" s="3"/>
      <c r="N10" s="3"/>
    </row>
    <row r="11">
      <c r="A11" s="352" t="s">
        <v>3380</v>
      </c>
      <c r="B11" s="352" t="s">
        <v>3381</v>
      </c>
      <c r="C11" s="353" t="s">
        <v>3382</v>
      </c>
      <c r="D11" s="352" t="s">
        <v>3383</v>
      </c>
      <c r="E11" s="352" t="s">
        <v>3384</v>
      </c>
      <c r="F11" s="352" t="s">
        <v>3385</v>
      </c>
      <c r="G11" s="352" t="s">
        <v>3386</v>
      </c>
      <c r="H11" s="352" t="s">
        <v>3387</v>
      </c>
      <c r="I11" s="352" t="s">
        <v>3388</v>
      </c>
      <c r="J11" s="352" t="s">
        <v>3389</v>
      </c>
      <c r="N11" s="3"/>
    </row>
    <row r="12">
      <c r="A12" s="354" t="n">
        <v>45344</v>
      </c>
      <c r="B12" s="352" t="s">
        <v>3390</v>
      </c>
      <c r="C12" s="355" t="n">
        <v>976</v>
      </c>
      <c r="D12" s="355" t="n">
        <v>1.6</v>
      </c>
      <c r="E12" s="355" t="n">
        <v>1.1</v>
      </c>
      <c r="F12" s="355" t="n">
        <v>4277</v>
      </c>
      <c r="G12" s="355" t="n">
        <v>5245</v>
      </c>
      <c r="H12" s="355" t="n">
        <v>848</v>
      </c>
      <c r="I12" s="355" t="n">
        <v>6418</v>
      </c>
      <c r="J12" s="355" t="n">
        <v>2545</v>
      </c>
      <c r="N12" s="3"/>
    </row>
    <row r="13">
      <c r="A13" s="354" t="n">
        <v>45343</v>
      </c>
      <c r="B13" s="356" t="s">
        <v>3391</v>
      </c>
      <c r="C13" s="357" t="n">
        <v>16.3</v>
      </c>
      <c r="D13" s="355" t="n">
        <v>2.1</v>
      </c>
      <c r="E13" s="355" t="n">
        <v>9259</v>
      </c>
      <c r="F13" s="355" t="n">
        <v>2472</v>
      </c>
      <c r="G13" s="355" t="n">
        <v>1387</v>
      </c>
      <c r="H13" s="355" t="s">
        <v>3392</v>
      </c>
      <c r="I13" s="355" t="s">
        <v>3393</v>
      </c>
      <c r="J13" s="355" t="n">
        <v>1927</v>
      </c>
      <c r="N13" s="3"/>
    </row>
    <row r="14">
      <c r="A14" s="354" t="n">
        <v>45342</v>
      </c>
      <c r="B14" s="352" t="s">
        <v>3394</v>
      </c>
      <c r="C14" s="355" t="n">
        <v>1.2</v>
      </c>
      <c r="D14" s="355" t="n">
        <v>8.3</v>
      </c>
      <c r="E14" s="355" t="n">
        <v>3</v>
      </c>
      <c r="F14" s="355" t="n">
        <v>5.5</v>
      </c>
      <c r="G14" s="355" t="n">
        <v>1.18</v>
      </c>
      <c r="H14" s="355" t="n">
        <v>6294</v>
      </c>
      <c r="I14" s="355" t="n">
        <v>55915</v>
      </c>
      <c r="J14" s="355" t="n">
        <v>690</v>
      </c>
      <c r="N14" s="3"/>
    </row>
    <row r="15">
      <c r="A15" s="354" t="n">
        <v>45341</v>
      </c>
      <c r="B15" s="352" t="s">
        <v>3395</v>
      </c>
      <c r="C15" s="355" t="n">
        <v>3837</v>
      </c>
      <c r="D15" s="355" t="n">
        <v>4.2</v>
      </c>
      <c r="E15" s="355" t="n">
        <v>2.8</v>
      </c>
      <c r="F15" s="355" t="n">
        <v>8386</v>
      </c>
      <c r="G15" s="355" t="n">
        <v>7633</v>
      </c>
      <c r="H15" s="355" t="n">
        <v>11077</v>
      </c>
      <c r="I15" s="355" t="n">
        <v>16609</v>
      </c>
      <c r="J15" s="355" t="n">
        <v>4966</v>
      </c>
      <c r="N15" s="3"/>
    </row>
    <row r="16">
      <c r="A16" s="354" t="n">
        <v>45340</v>
      </c>
      <c r="B16" s="352" t="s">
        <v>3396</v>
      </c>
      <c r="C16" s="355" t="n">
        <v>1875</v>
      </c>
      <c r="D16" s="355" t="n">
        <v>2.2</v>
      </c>
      <c r="E16" s="355" t="n">
        <v>4220</v>
      </c>
      <c r="F16" s="355" t="n">
        <v>8394</v>
      </c>
      <c r="G16" s="355" t="n">
        <v>4146</v>
      </c>
      <c r="H16" s="355" t="s">
        <v>3397</v>
      </c>
      <c r="I16" s="355" t="s">
        <v>3398</v>
      </c>
      <c r="J16" s="355" t="n">
        <v>28379</v>
      </c>
      <c r="N16" s="3"/>
    </row>
    <row r="17">
      <c r="A17" s="3"/>
      <c r="B17" s="3"/>
      <c r="C17" s="3"/>
      <c r="D17" s="3"/>
      <c r="N17" s="3"/>
    </row>
    <row r="18">
      <c r="A18" s="3"/>
      <c r="B18" s="3"/>
      <c r="C18" s="3"/>
      <c r="D18" s="3"/>
      <c r="N18" s="3"/>
    </row>
    <row r="19">
      <c r="A19" s="352" t="s">
        <v>3399</v>
      </c>
      <c r="B19" s="358"/>
      <c r="C19" s="353" t="s">
        <v>3400</v>
      </c>
      <c r="D19" s="352" t="s">
        <v>3401</v>
      </c>
      <c r="E19" s="352" t="s">
        <v>3402</v>
      </c>
      <c r="F19" s="352" t="s">
        <v>3403</v>
      </c>
      <c r="G19" s="352" t="s">
        <v>3404</v>
      </c>
      <c r="H19" s="352" t="s">
        <v>3405</v>
      </c>
      <c r="I19" s="352" t="s">
        <v>3406</v>
      </c>
      <c r="J19" s="352" t="s">
        <v>3407</v>
      </c>
      <c r="N19" s="3"/>
    </row>
    <row r="20">
      <c r="A20" s="358" t="s">
        <v>3408</v>
      </c>
      <c r="B20" s="352" t="s">
        <v>3409</v>
      </c>
      <c r="C20" s="355" t="n">
        <v>193951</v>
      </c>
      <c r="D20" s="355" t="n">
        <v>199000</v>
      </c>
      <c r="E20" s="355" t="n">
        <v>351200</v>
      </c>
      <c r="F20" s="355" t="n">
        <v>200109</v>
      </c>
      <c r="G20" s="355" t="n">
        <v>37657</v>
      </c>
      <c r="H20" s="355" t="n">
        <v>86123</v>
      </c>
      <c r="I20" s="355" t="n">
        <v>99470</v>
      </c>
      <c r="J20" s="355" t="n">
        <v>33915</v>
      </c>
      <c r="N20" s="3"/>
    </row>
    <row r="21">
      <c r="A21" s="358"/>
      <c r="B21" s="352" t="s">
        <v>3410</v>
      </c>
      <c r="C21" s="359" t="n">
        <v>87231</v>
      </c>
      <c r="D21" s="355" t="n">
        <v>175000</v>
      </c>
      <c r="E21" s="355" t="n">
        <v>403000</v>
      </c>
      <c r="F21" s="355" t="n">
        <v>107052</v>
      </c>
      <c r="G21" s="359" t="n">
        <v>73358</v>
      </c>
      <c r="H21" s="360" t="n">
        <v>43873</v>
      </c>
      <c r="I21" s="355" t="n">
        <v>59122</v>
      </c>
      <c r="J21" s="355" t="n">
        <v>61793</v>
      </c>
      <c r="N21" s="3"/>
    </row>
    <row r="22">
      <c r="A22" s="358"/>
      <c r="B22" s="352" t="s">
        <v>3411</v>
      </c>
      <c r="C22" s="355" t="n">
        <v>106720</v>
      </c>
      <c r="D22" s="355" t="n">
        <v>24000</v>
      </c>
      <c r="E22" s="355" t="n">
        <v>-51800</v>
      </c>
      <c r="F22" s="355" t="n">
        <v>93057</v>
      </c>
      <c r="G22" s="355" t="n">
        <v>-35701</v>
      </c>
      <c r="H22" s="355" t="n">
        <v>42250</v>
      </c>
      <c r="I22" s="355" t="n">
        <v>40348</v>
      </c>
      <c r="J22" s="355" t="n">
        <v>-27878</v>
      </c>
      <c r="N22" s="3"/>
    </row>
    <row r="23">
      <c r="A23" s="358"/>
      <c r="B23" s="352"/>
      <c r="C23" s="352"/>
      <c r="D23" s="352"/>
      <c r="E23" s="352"/>
      <c r="F23" s="352"/>
      <c r="G23" s="352"/>
      <c r="H23" s="352"/>
      <c r="I23" s="352"/>
      <c r="J23" s="352"/>
      <c r="N23" s="3"/>
    </row>
    <row r="24">
      <c r="A24" s="358"/>
      <c r="B24" s="352" t="s">
        <v>3412</v>
      </c>
      <c r="C24" s="355" t="n">
        <v>64587</v>
      </c>
      <c r="D24" s="355" t="n">
        <v>106655</v>
      </c>
      <c r="E24" s="355" t="n">
        <v>299000</v>
      </c>
      <c r="F24" s="355" t="n">
        <v>16.5</v>
      </c>
      <c r="G24" s="355" t="n">
        <v>217782</v>
      </c>
      <c r="H24" s="355" t="n">
        <v>997596</v>
      </c>
      <c r="I24" s="355" t="n">
        <v>147191</v>
      </c>
      <c r="J24" s="355" t="n">
        <v>372163</v>
      </c>
      <c r="N24" s="3"/>
    </row>
    <row r="25">
      <c r="A25" s="358"/>
      <c r="B25" s="352" t="s">
        <v>3413</v>
      </c>
      <c r="C25" s="359" t="n">
        <v>63085</v>
      </c>
      <c r="D25" s="355" t="n">
        <v>105593</v>
      </c>
      <c r="E25" s="355" t="n">
        <v>298100</v>
      </c>
      <c r="F25" s="355" t="n">
        <v>16.3</v>
      </c>
      <c r="G25" s="359" t="n">
        <v>216420</v>
      </c>
      <c r="H25" s="359" t="n">
        <v>994041</v>
      </c>
      <c r="I25" s="355" t="n">
        <v>146010</v>
      </c>
      <c r="J25" s="355" t="n">
        <v>371918</v>
      </c>
      <c r="N25" s="3"/>
    </row>
    <row r="26">
      <c r="A26" s="358"/>
      <c r="B26" s="352" t="s">
        <v>3414</v>
      </c>
      <c r="C26" s="355" t="n">
        <v>1502</v>
      </c>
      <c r="D26" s="355" t="n">
        <v>1062</v>
      </c>
      <c r="E26" s="355" t="n">
        <v>900</v>
      </c>
      <c r="F26" s="355" t="n">
        <v>0.2</v>
      </c>
      <c r="G26" s="355" t="n">
        <v>1362</v>
      </c>
      <c r="H26" s="355" t="n">
        <v>3555</v>
      </c>
      <c r="I26" s="355" t="n">
        <v>1181</v>
      </c>
      <c r="J26" s="355" t="n">
        <v>245</v>
      </c>
      <c r="N26" s="3"/>
    </row>
    <row r="27">
      <c r="A27" s="3"/>
      <c r="B27" s="3"/>
      <c r="C27" s="3"/>
      <c r="D27" s="3"/>
      <c r="N27" s="3"/>
    </row>
    <row r="28">
      <c r="A28" s="3"/>
      <c r="B28" s="3"/>
      <c r="C28" s="3"/>
      <c r="D28" s="3"/>
      <c r="N28" s="3"/>
    </row>
    <row r="29">
      <c r="A29" s="3"/>
      <c r="B29" s="3"/>
      <c r="C29" s="3"/>
      <c r="D29" s="3"/>
      <c r="N29" s="3"/>
    </row>
    <row r="30">
      <c r="A30" s="3"/>
      <c r="B30" s="3"/>
      <c r="C30" s="3"/>
      <c r="D30" s="3"/>
      <c r="N30" s="3"/>
    </row>
    <row r="31">
      <c r="A31" s="3"/>
      <c r="B31" s="3"/>
      <c r="C31" s="3"/>
      <c r="D31" s="3"/>
      <c r="N31" s="3"/>
    </row>
    <row r="32">
      <c r="A32" s="3"/>
      <c r="B32" s="3"/>
      <c r="C32" s="3"/>
      <c r="D32" s="3"/>
      <c r="N32" s="3"/>
    </row>
    <row r="33">
      <c r="A33" s="3"/>
      <c r="B33" s="3"/>
      <c r="C33" s="3"/>
      <c r="D33" s="3"/>
      <c r="N33" s="3"/>
    </row>
    <row r="34">
      <c r="A34" s="3"/>
      <c r="B34" s="3"/>
      <c r="C34" s="3"/>
      <c r="D34" s="3"/>
      <c r="N34" s="3"/>
    </row>
    <row r="35">
      <c r="A35" s="3"/>
      <c r="B35" s="3"/>
      <c r="C35" s="3"/>
      <c r="D35" s="3"/>
      <c r="N35" s="3"/>
    </row>
    <row r="36">
      <c r="A36" s="3"/>
      <c r="B36" s="3"/>
      <c r="C36" s="3"/>
      <c r="D36" s="3"/>
      <c r="N36" s="3"/>
    </row>
    <row r="37">
      <c r="A37" s="3"/>
      <c r="B37" s="3"/>
      <c r="C37" s="3"/>
      <c r="D37" s="3"/>
      <c r="N37" s="3"/>
    </row>
    <row r="38">
      <c r="A38" s="3"/>
      <c r="B38" s="3"/>
      <c r="C38" s="3"/>
      <c r="D38" s="3"/>
      <c r="N38" s="3"/>
    </row>
    <row r="39">
      <c r="A39" s="3"/>
      <c r="B39" s="3"/>
      <c r="C39" s="3"/>
      <c r="D39" s="3"/>
      <c r="N39" s="3"/>
    </row>
    <row r="40">
      <c r="A40" s="3"/>
      <c r="B40" s="3"/>
      <c r="C40" s="3"/>
      <c r="D40" s="3"/>
      <c r="N40" s="3"/>
    </row>
    <row r="41">
      <c r="A41" s="3"/>
      <c r="B41" s="3"/>
      <c r="C41" s="3"/>
      <c r="D41" s="3"/>
      <c r="N41" s="3"/>
    </row>
    <row r="42">
      <c r="A42" s="3"/>
      <c r="B42" s="3"/>
      <c r="C42" s="3"/>
      <c r="D42" s="3"/>
      <c r="N42" s="3"/>
    </row>
    <row r="43">
      <c r="A43" s="3"/>
      <c r="B43" s="3"/>
      <c r="C43" s="3"/>
      <c r="D43" s="3"/>
      <c r="N43" s="3"/>
    </row>
    <row r="44">
      <c r="A44" s="3"/>
      <c r="B44" s="3"/>
      <c r="C44" s="3"/>
      <c r="D44" s="3"/>
      <c r="N44" s="3"/>
    </row>
    <row r="45">
      <c r="A45" s="3"/>
      <c r="B45" s="3"/>
      <c r="C45" s="3"/>
      <c r="D45" s="3"/>
      <c r="N45" s="3"/>
    </row>
    <row r="46">
      <c r="A46" s="3"/>
      <c r="B46" s="3"/>
      <c r="C46" s="3"/>
      <c r="D46" s="3"/>
      <c r="N46" s="3"/>
    </row>
    <row r="47">
      <c r="A47" s="3"/>
      <c r="B47" s="3"/>
      <c r="C47" s="3"/>
      <c r="D47" s="3"/>
      <c r="N47" s="3"/>
    </row>
    <row r="48">
      <c r="A48" s="3"/>
      <c r="B48" s="3"/>
      <c r="C48" s="3"/>
      <c r="D48" s="3"/>
      <c r="N48" s="3"/>
    </row>
    <row r="49">
      <c r="A49" s="3"/>
      <c r="B49" s="3"/>
      <c r="C49" s="3"/>
      <c r="D49" s="3"/>
      <c r="N49" s="3"/>
    </row>
    <row r="50">
      <c r="A50" s="3"/>
      <c r="B50" s="3"/>
      <c r="C50" s="3"/>
      <c r="D50" s="3"/>
      <c r="N50" s="3"/>
    </row>
    <row r="51">
      <c r="A51" s="3"/>
      <c r="B51" s="3"/>
      <c r="C51" s="3"/>
      <c r="D51" s="3"/>
      <c r="N51" s="3"/>
    </row>
    <row r="52">
      <c r="A52" s="3"/>
      <c r="B52" s="3"/>
      <c r="C52" s="3"/>
      <c r="D52" s="3"/>
      <c r="N52" s="3"/>
    </row>
    <row r="53">
      <c r="A53" s="3"/>
      <c r="B53" s="3"/>
      <c r="C53" s="3"/>
      <c r="D53" s="3"/>
      <c r="N53" s="3"/>
    </row>
    <row r="54">
      <c r="A54" s="3"/>
      <c r="B54" s="3"/>
      <c r="C54" s="3"/>
      <c r="D54" s="3"/>
      <c r="N54" s="3"/>
    </row>
    <row r="55">
      <c r="A55" s="3"/>
      <c r="B55" s="3"/>
      <c r="C55" s="3"/>
      <c r="D55" s="3"/>
      <c r="N55" s="3"/>
    </row>
    <row r="56">
      <c r="A56" s="3"/>
      <c r="B56" s="3"/>
      <c r="C56" s="3"/>
      <c r="D56" s="3"/>
      <c r="N56" s="3"/>
    </row>
    <row r="57">
      <c r="A57" s="3"/>
      <c r="B57" s="3"/>
      <c r="C57" s="3"/>
      <c r="D57" s="3"/>
      <c r="N57" s="3"/>
    </row>
    <row r="58">
      <c r="A58" s="3"/>
      <c r="B58" s="3"/>
      <c r="C58" s="3"/>
      <c r="D58" s="3"/>
      <c r="N58" s="3"/>
    </row>
    <row r="59">
      <c r="A59" s="3"/>
      <c r="B59" s="3"/>
      <c r="C59" s="3"/>
      <c r="D59" s="3"/>
      <c r="N59" s="3"/>
    </row>
    <row r="60">
      <c r="A60" s="3"/>
      <c r="B60" s="3"/>
      <c r="C60" s="3"/>
      <c r="D60" s="3"/>
      <c r="N60" s="3"/>
    </row>
    <row r="61">
      <c r="A61" s="3"/>
      <c r="B61" s="3"/>
      <c r="C61" s="3"/>
      <c r="D61" s="3"/>
      <c r="N61" s="3"/>
    </row>
    <row r="62">
      <c r="A62" s="3"/>
      <c r="B62" s="3"/>
      <c r="C62" s="3"/>
      <c r="D62" s="3"/>
      <c r="N62" s="3"/>
    </row>
    <row r="63">
      <c r="A63" s="3"/>
      <c r="B63" s="3"/>
      <c r="C63" s="3"/>
      <c r="D63" s="3"/>
      <c r="N63" s="3"/>
    </row>
    <row r="64">
      <c r="A64" s="3"/>
      <c r="B64" s="3"/>
      <c r="C64" s="3"/>
      <c r="D64" s="3"/>
      <c r="N64" s="3"/>
    </row>
    <row r="65">
      <c r="A65" s="3"/>
      <c r="B65" s="3"/>
      <c r="C65" s="3"/>
      <c r="D65" s="3"/>
      <c r="N65" s="3"/>
    </row>
    <row r="66">
      <c r="A66" s="3"/>
      <c r="B66" s="3"/>
      <c r="C66" s="3"/>
      <c r="D66" s="3"/>
      <c r="N66" s="3"/>
    </row>
    <row r="67">
      <c r="A67" s="3"/>
      <c r="B67" s="3"/>
      <c r="C67" s="3"/>
      <c r="D67" s="3"/>
      <c r="N67" s="3"/>
    </row>
    <row r="68">
      <c r="A68" s="3"/>
      <c r="B68" s="3"/>
      <c r="C68" s="3"/>
      <c r="D68" s="3"/>
      <c r="N68" s="3"/>
    </row>
    <row r="69">
      <c r="A69" s="3"/>
      <c r="B69" s="3"/>
      <c r="C69" s="3"/>
      <c r="D69" s="3"/>
      <c r="N69" s="3"/>
    </row>
    <row r="70">
      <c r="A70" s="3"/>
      <c r="B70" s="3"/>
      <c r="C70" s="3"/>
      <c r="D70" s="3"/>
      <c r="N70" s="3"/>
    </row>
    <row r="71">
      <c r="A71" s="3"/>
      <c r="B71" s="3"/>
      <c r="C71" s="3"/>
      <c r="D71" s="3"/>
      <c r="N71" s="3"/>
    </row>
    <row r="72">
      <c r="A72" s="3"/>
      <c r="B72" s="3"/>
      <c r="C72" s="3"/>
      <c r="D72" s="3"/>
      <c r="N72" s="3"/>
    </row>
    <row r="73">
      <c r="A73" s="3"/>
      <c r="B73" s="3"/>
      <c r="C73" s="3"/>
      <c r="D73" s="3"/>
      <c r="N73" s="3"/>
    </row>
    <row r="74">
      <c r="A74" s="3"/>
      <c r="B74" s="3"/>
      <c r="C74" s="3"/>
      <c r="D74" s="3"/>
      <c r="N74" s="3"/>
    </row>
    <row r="75">
      <c r="A75" s="3"/>
      <c r="B75" s="3"/>
      <c r="C75" s="3"/>
      <c r="D75" s="3"/>
      <c r="N75" s="3"/>
    </row>
    <row r="76">
      <c r="A76" s="3"/>
      <c r="B76" s="3"/>
      <c r="C76" s="3"/>
      <c r="D76" s="3"/>
      <c r="N76" s="3"/>
    </row>
    <row r="77">
      <c r="A77" s="3"/>
      <c r="B77" s="3"/>
      <c r="C77" s="3"/>
      <c r="D77" s="3"/>
      <c r="N77" s="3"/>
    </row>
    <row r="78">
      <c r="A78" s="3"/>
      <c r="B78" s="3"/>
      <c r="C78" s="3"/>
      <c r="D78" s="3"/>
      <c r="N78" s="3"/>
    </row>
    <row r="79">
      <c r="A79" s="3"/>
      <c r="B79" s="3"/>
      <c r="C79" s="3"/>
      <c r="D79" s="3"/>
      <c r="N79" s="3"/>
    </row>
    <row r="80">
      <c r="A80" s="3"/>
      <c r="B80" s="3"/>
      <c r="C80" s="3"/>
      <c r="D80" s="3"/>
      <c r="N80" s="3"/>
    </row>
    <row r="81">
      <c r="A81" s="3"/>
      <c r="B81" s="3"/>
      <c r="C81" s="3"/>
      <c r="D81" s="3"/>
      <c r="N81" s="3"/>
    </row>
    <row r="82">
      <c r="A82" s="3"/>
      <c r="B82" s="3"/>
      <c r="C82" s="3"/>
      <c r="D82" s="3"/>
      <c r="N82" s="3"/>
    </row>
    <row r="83">
      <c r="A83" s="3"/>
      <c r="B83" s="3"/>
      <c r="C83" s="3"/>
      <c r="D83" s="3"/>
      <c r="N83" s="3"/>
    </row>
    <row r="84">
      <c r="A84" s="3"/>
      <c r="B84" s="3"/>
      <c r="C84" s="3"/>
      <c r="D84" s="3"/>
      <c r="N84" s="3"/>
    </row>
    <row r="85">
      <c r="A85" s="3"/>
      <c r="B85" s="3"/>
      <c r="C85" s="3"/>
      <c r="D85" s="3"/>
      <c r="N85" s="3"/>
    </row>
    <row r="86">
      <c r="A86" s="3"/>
      <c r="B86" s="3"/>
      <c r="C86" s="3"/>
      <c r="D86" s="3"/>
      <c r="N86" s="3"/>
    </row>
    <row r="87">
      <c r="A87" s="3"/>
      <c r="B87" s="3"/>
      <c r="C87" s="3"/>
      <c r="D87" s="3"/>
      <c r="N87" s="3"/>
    </row>
    <row r="88">
      <c r="A88" s="3"/>
      <c r="B88" s="3"/>
      <c r="C88" s="3"/>
      <c r="D88" s="3"/>
      <c r="N88" s="3"/>
    </row>
    <row r="89">
      <c r="A89" s="3"/>
      <c r="B89" s="3"/>
      <c r="C89" s="3"/>
      <c r="D89" s="3"/>
      <c r="N89" s="3"/>
    </row>
    <row r="90">
      <c r="A90" s="3"/>
      <c r="B90" s="3"/>
      <c r="C90" s="3"/>
      <c r="D90" s="3"/>
      <c r="N90" s="3"/>
    </row>
    <row r="91">
      <c r="A91" s="3"/>
      <c r="B91" s="3"/>
      <c r="C91" s="3"/>
      <c r="D91" s="3"/>
      <c r="N91" s="3"/>
    </row>
    <row r="92">
      <c r="A92" s="3"/>
      <c r="B92" s="3"/>
      <c r="C92" s="3"/>
      <c r="D92" s="3"/>
      <c r="N92" s="3"/>
    </row>
    <row r="93">
      <c r="A93" s="3"/>
      <c r="B93" s="3"/>
      <c r="C93" s="3"/>
      <c r="D93" s="3"/>
      <c r="N93" s="3"/>
    </row>
    <row r="94">
      <c r="A94" s="3"/>
      <c r="B94" s="3"/>
      <c r="C94" s="3"/>
      <c r="D94" s="3"/>
      <c r="N94" s="3"/>
    </row>
    <row r="95">
      <c r="A95" s="3"/>
      <c r="B95" s="3"/>
      <c r="C95" s="3"/>
      <c r="D95" s="3"/>
      <c r="N95" s="3"/>
    </row>
    <row r="96">
      <c r="A96" s="3"/>
      <c r="B96" s="3"/>
      <c r="C96" s="3"/>
      <c r="D96" s="3"/>
      <c r="N96" s="3"/>
    </row>
    <row r="97">
      <c r="A97" s="3"/>
      <c r="B97" s="3"/>
      <c r="C97" s="3"/>
      <c r="D97" s="3"/>
      <c r="N97" s="3"/>
    </row>
    <row r="98">
      <c r="A98" s="3"/>
      <c r="B98" s="3"/>
      <c r="C98" s="3"/>
      <c r="D98" s="3"/>
      <c r="N98" s="3"/>
    </row>
    <row r="99">
      <c r="A99" s="3"/>
      <c r="B99" s="3"/>
      <c r="C99" s="3"/>
      <c r="D99" s="3"/>
      <c r="N99" s="3"/>
    </row>
    <row r="100">
      <c r="A100" s="3"/>
      <c r="B100" s="3"/>
      <c r="C100" s="3"/>
      <c r="D100" s="3"/>
      <c r="N100" s="3"/>
    </row>
    <row r="101">
      <c r="A101" s="3"/>
      <c r="B101" s="3"/>
      <c r="C101" s="3"/>
      <c r="D101" s="3"/>
      <c r="N101" s="3"/>
    </row>
    <row r="102">
      <c r="A102" s="3"/>
      <c r="B102" s="3"/>
      <c r="C102" s="3"/>
      <c r="D102" s="3"/>
      <c r="N102" s="3"/>
    </row>
    <row r="103">
      <c r="A103" s="3"/>
      <c r="B103" s="3"/>
      <c r="C103" s="3"/>
      <c r="D103" s="3"/>
      <c r="N103" s="3"/>
    </row>
    <row r="104">
      <c r="A104" s="3"/>
      <c r="B104" s="3"/>
      <c r="C104" s="3"/>
      <c r="D104" s="3"/>
      <c r="N104" s="3"/>
    </row>
    <row r="105">
      <c r="A105" s="3"/>
      <c r="B105" s="3"/>
      <c r="C105" s="3"/>
      <c r="D105" s="3"/>
      <c r="N105" s="3"/>
    </row>
    <row r="106">
      <c r="A106" s="3"/>
      <c r="B106" s="3"/>
      <c r="C106" s="3"/>
      <c r="D106" s="3"/>
      <c r="N106" s="3"/>
    </row>
    <row r="107">
      <c r="A107" s="3"/>
      <c r="B107" s="3"/>
      <c r="C107" s="3"/>
      <c r="D107" s="3"/>
      <c r="N107" s="3"/>
    </row>
    <row r="108">
      <c r="A108" s="3"/>
      <c r="B108" s="3"/>
      <c r="C108" s="3"/>
      <c r="D108" s="3"/>
      <c r="N108" s="3"/>
    </row>
    <row r="109">
      <c r="A109" s="3"/>
      <c r="B109" s="3"/>
      <c r="C109" s="3"/>
      <c r="D109" s="3"/>
      <c r="N109" s="3"/>
    </row>
    <row r="110">
      <c r="A110" s="3"/>
      <c r="B110" s="3"/>
      <c r="C110" s="3"/>
      <c r="D110" s="3"/>
      <c r="N110" s="3"/>
    </row>
    <row r="111">
      <c r="A111" s="3"/>
      <c r="B111" s="3"/>
      <c r="C111" s="3"/>
      <c r="D111" s="3"/>
      <c r="N111" s="3"/>
    </row>
    <row r="112">
      <c r="A112" s="3"/>
      <c r="B112" s="3"/>
      <c r="C112" s="3"/>
      <c r="D112" s="3"/>
      <c r="N112" s="3"/>
    </row>
    <row r="113">
      <c r="A113" s="3"/>
      <c r="B113" s="3"/>
      <c r="C113" s="3"/>
      <c r="D113" s="3"/>
      <c r="N113" s="3"/>
    </row>
    <row r="114">
      <c r="A114" s="3"/>
      <c r="B114" s="3"/>
      <c r="C114" s="3"/>
      <c r="D114" s="3"/>
      <c r="N114" s="3"/>
    </row>
    <row r="115">
      <c r="A115" s="3"/>
      <c r="B115" s="3"/>
      <c r="C115" s="3"/>
      <c r="D115" s="3"/>
      <c r="N115" s="3"/>
    </row>
    <row r="116">
      <c r="A116" s="3"/>
      <c r="B116" s="3"/>
      <c r="C116" s="3"/>
      <c r="D116" s="3"/>
      <c r="N116" s="3"/>
    </row>
    <row r="117">
      <c r="A117" s="3"/>
      <c r="B117" s="3"/>
      <c r="C117" s="3"/>
      <c r="D117" s="3"/>
      <c r="N117" s="3"/>
    </row>
    <row r="118">
      <c r="A118" s="3"/>
      <c r="B118" s="3"/>
      <c r="C118" s="3"/>
      <c r="D118" s="3"/>
      <c r="N118" s="3"/>
    </row>
    <row r="119">
      <c r="A119" s="3"/>
      <c r="B119" s="3"/>
      <c r="C119" s="3"/>
      <c r="D119" s="3"/>
      <c r="N119" s="3"/>
    </row>
    <row r="120">
      <c r="A120" s="3"/>
      <c r="B120" s="3"/>
      <c r="C120" s="3"/>
      <c r="D120" s="3"/>
      <c r="N120" s="3"/>
    </row>
    <row r="121">
      <c r="A121" s="3"/>
      <c r="B121" s="3"/>
      <c r="C121" s="3"/>
      <c r="D121" s="3"/>
      <c r="N121" s="3"/>
    </row>
    <row r="122">
      <c r="A122" s="3"/>
      <c r="B122" s="3"/>
      <c r="C122" s="3"/>
      <c r="D122" s="3"/>
      <c r="N122" s="3"/>
    </row>
    <row r="123">
      <c r="A123" s="3"/>
      <c r="B123" s="3"/>
      <c r="C123" s="3"/>
      <c r="D123" s="3"/>
      <c r="N123" s="3"/>
    </row>
    <row r="124">
      <c r="A124" s="3"/>
      <c r="B124" s="3"/>
      <c r="C124" s="3"/>
      <c r="D124" s="3"/>
      <c r="N124" s="3"/>
    </row>
    <row r="125">
      <c r="A125" s="3"/>
      <c r="B125" s="3"/>
      <c r="C125" s="3"/>
      <c r="D125" s="3"/>
      <c r="N125" s="3"/>
    </row>
    <row r="126">
      <c r="A126" s="3"/>
      <c r="B126" s="3"/>
      <c r="C126" s="3"/>
      <c r="D126" s="3"/>
      <c r="N126" s="3"/>
    </row>
    <row r="127">
      <c r="A127" s="3"/>
      <c r="B127" s="3"/>
      <c r="C127" s="3"/>
      <c r="D127" s="3"/>
      <c r="N127" s="3"/>
    </row>
    <row r="128">
      <c r="A128" s="3"/>
      <c r="B128" s="3"/>
      <c r="C128" s="3"/>
      <c r="D128" s="3"/>
      <c r="N128" s="3"/>
    </row>
    <row r="129">
      <c r="A129" s="3"/>
      <c r="B129" s="3"/>
      <c r="C129" s="3"/>
      <c r="D129" s="3"/>
      <c r="N129" s="3"/>
    </row>
    <row r="130">
      <c r="A130" s="3"/>
      <c r="B130" s="3"/>
      <c r="C130" s="3"/>
      <c r="D130" s="3"/>
      <c r="N130" s="3"/>
    </row>
    <row r="131">
      <c r="A131" s="3"/>
      <c r="B131" s="3"/>
      <c r="C131" s="3"/>
      <c r="D131" s="3"/>
      <c r="N131" s="3"/>
    </row>
    <row r="132">
      <c r="A132" s="3"/>
      <c r="B132" s="3"/>
      <c r="C132" s="3"/>
      <c r="D132" s="3"/>
      <c r="N132" s="3"/>
    </row>
    <row r="133">
      <c r="A133" s="3"/>
      <c r="B133" s="3"/>
      <c r="C133" s="3"/>
      <c r="D133" s="3"/>
      <c r="N133" s="3"/>
    </row>
    <row r="134">
      <c r="A134" s="3"/>
      <c r="B134" s="3"/>
      <c r="C134" s="3"/>
      <c r="D134" s="3"/>
      <c r="N134" s="3"/>
    </row>
    <row r="135">
      <c r="A135" s="3"/>
      <c r="B135" s="3"/>
      <c r="C135" s="3"/>
      <c r="D135" s="3"/>
      <c r="N135" s="3"/>
    </row>
    <row r="136">
      <c r="A136" s="3"/>
      <c r="B136" s="3"/>
      <c r="C136" s="3"/>
      <c r="D136" s="3"/>
      <c r="N136" s="3"/>
    </row>
    <row r="137">
      <c r="A137" s="3"/>
      <c r="B137" s="3"/>
      <c r="C137" s="3"/>
      <c r="D137" s="3"/>
      <c r="N137" s="3"/>
    </row>
    <row r="138">
      <c r="A138" s="3"/>
      <c r="B138" s="3"/>
      <c r="C138" s="3"/>
      <c r="D138" s="3"/>
      <c r="N138" s="3"/>
    </row>
    <row r="139">
      <c r="A139" s="3"/>
      <c r="B139" s="3"/>
      <c r="C139" s="3"/>
      <c r="D139" s="3"/>
      <c r="N139" s="3"/>
    </row>
    <row r="140">
      <c r="A140" s="3"/>
      <c r="B140" s="3"/>
      <c r="C140" s="3"/>
      <c r="D140" s="3"/>
      <c r="N140" s="3"/>
    </row>
    <row r="141">
      <c r="A141" s="3"/>
      <c r="B141" s="3"/>
      <c r="C141" s="3"/>
      <c r="D141" s="3"/>
      <c r="N141" s="3"/>
    </row>
    <row r="142">
      <c r="A142" s="3"/>
      <c r="B142" s="3"/>
      <c r="C142" s="3"/>
      <c r="D142" s="3"/>
      <c r="N142" s="3"/>
    </row>
    <row r="143">
      <c r="A143" s="3"/>
      <c r="B143" s="3"/>
      <c r="C143" s="3"/>
      <c r="D143" s="3"/>
      <c r="N143" s="3"/>
    </row>
    <row r="144">
      <c r="A144" s="3"/>
      <c r="B144" s="3"/>
      <c r="C144" s="3"/>
      <c r="D144" s="3"/>
      <c r="N144" s="3"/>
    </row>
    <row r="145">
      <c r="A145" s="3"/>
      <c r="B145" s="3"/>
      <c r="C145" s="3"/>
      <c r="D145" s="3"/>
      <c r="N145" s="3"/>
    </row>
    <row r="146">
      <c r="A146" s="3"/>
      <c r="B146" s="3"/>
      <c r="C146" s="3"/>
      <c r="D146" s="3"/>
      <c r="N146" s="3"/>
    </row>
    <row r="147">
      <c r="A147" s="3"/>
      <c r="B147" s="3"/>
      <c r="C147" s="3"/>
      <c r="D147" s="3"/>
      <c r="N147" s="3"/>
    </row>
    <row r="148">
      <c r="A148" s="3"/>
      <c r="B148" s="3"/>
      <c r="C148" s="3"/>
      <c r="D148" s="3"/>
      <c r="N148" s="3"/>
    </row>
    <row r="149">
      <c r="A149" s="3"/>
      <c r="B149" s="3"/>
      <c r="C149" s="3"/>
      <c r="D149" s="3"/>
      <c r="N149" s="3"/>
    </row>
    <row r="150">
      <c r="A150" s="3"/>
      <c r="B150" s="3"/>
      <c r="C150" s="3"/>
      <c r="D150" s="3"/>
      <c r="N150" s="3"/>
    </row>
    <row r="151">
      <c r="A151" s="3"/>
      <c r="B151" s="3"/>
      <c r="C151" s="3"/>
      <c r="D151" s="3"/>
      <c r="N151" s="3"/>
    </row>
    <row r="152">
      <c r="A152" s="3"/>
      <c r="B152" s="3"/>
      <c r="C152" s="3"/>
      <c r="D152" s="3"/>
      <c r="N152" s="3"/>
    </row>
    <row r="153">
      <c r="A153" s="3"/>
      <c r="B153" s="3"/>
      <c r="C153" s="3"/>
      <c r="D153" s="3"/>
      <c r="N153" s="3"/>
    </row>
    <row r="154">
      <c r="A154" s="3"/>
      <c r="B154" s="3"/>
      <c r="C154" s="3"/>
      <c r="D154" s="3"/>
      <c r="N154" s="3"/>
    </row>
    <row r="155">
      <c r="A155" s="3"/>
      <c r="B155" s="3"/>
      <c r="C155" s="3"/>
      <c r="D155" s="3"/>
      <c r="N155" s="3"/>
    </row>
    <row r="156">
      <c r="A156" s="3"/>
      <c r="B156" s="3"/>
      <c r="C156" s="3"/>
      <c r="D156" s="3"/>
      <c r="N156" s="3"/>
    </row>
    <row r="157">
      <c r="A157" s="3"/>
      <c r="B157" s="3"/>
      <c r="C157" s="3"/>
      <c r="D157" s="3"/>
      <c r="N157" s="3"/>
    </row>
    <row r="158">
      <c r="A158" s="3"/>
      <c r="B158" s="3"/>
      <c r="C158" s="3"/>
      <c r="D158" s="3"/>
      <c r="N158" s="3"/>
    </row>
    <row r="159">
      <c r="A159" s="3"/>
      <c r="B159" s="3"/>
      <c r="C159" s="3"/>
      <c r="D159" s="3"/>
      <c r="N159" s="3"/>
    </row>
    <row r="160">
      <c r="A160" s="3"/>
      <c r="B160" s="3"/>
      <c r="C160" s="3"/>
      <c r="D160" s="3"/>
      <c r="N160" s="3"/>
    </row>
    <row r="161">
      <c r="A161" s="3"/>
      <c r="B161" s="3"/>
      <c r="C161" s="3"/>
      <c r="D161" s="3"/>
      <c r="N161" s="3"/>
    </row>
    <row r="162">
      <c r="A162" s="3"/>
      <c r="B162" s="3"/>
      <c r="C162" s="3"/>
      <c r="D162" s="3"/>
      <c r="N162" s="3"/>
    </row>
    <row r="163">
      <c r="A163" s="3"/>
      <c r="B163" s="3"/>
      <c r="C163" s="3"/>
      <c r="D163" s="3"/>
      <c r="N163" s="3"/>
    </row>
    <row r="164">
      <c r="A164" s="3"/>
      <c r="B164" s="3"/>
      <c r="C164" s="3"/>
      <c r="D164" s="3"/>
      <c r="N164" s="3"/>
    </row>
    <row r="165">
      <c r="A165" s="3"/>
      <c r="B165" s="3"/>
      <c r="C165" s="3"/>
      <c r="D165" s="3"/>
      <c r="N165" s="3"/>
    </row>
    <row r="166">
      <c r="A166" s="3"/>
      <c r="B166" s="3"/>
      <c r="C166" s="3"/>
      <c r="D166" s="3"/>
      <c r="N166" s="3"/>
    </row>
    <row r="167">
      <c r="A167" s="3"/>
      <c r="B167" s="3"/>
      <c r="C167" s="3"/>
      <c r="D167" s="3"/>
      <c r="N167" s="3"/>
    </row>
    <row r="168">
      <c r="A168" s="3"/>
      <c r="B168" s="3"/>
      <c r="C168" s="3"/>
      <c r="D168" s="3"/>
      <c r="N168" s="3"/>
    </row>
    <row r="169">
      <c r="A169" s="3"/>
      <c r="B169" s="3"/>
      <c r="C169" s="3"/>
      <c r="D169" s="3"/>
      <c r="N169" s="3"/>
    </row>
    <row r="170">
      <c r="A170" s="3"/>
      <c r="B170" s="3"/>
      <c r="C170" s="3"/>
      <c r="D170" s="3"/>
      <c r="N170" s="3"/>
    </row>
    <row r="171">
      <c r="A171" s="3"/>
      <c r="B171" s="3"/>
      <c r="C171" s="3"/>
      <c r="D171" s="3"/>
      <c r="N171" s="3"/>
    </row>
    <row r="172">
      <c r="A172" s="3"/>
      <c r="B172" s="3"/>
      <c r="C172" s="3"/>
      <c r="D172" s="3"/>
      <c r="N172" s="3"/>
    </row>
    <row r="173">
      <c r="A173" s="3"/>
      <c r="B173" s="3"/>
      <c r="C173" s="3"/>
      <c r="D173" s="3"/>
      <c r="N173" s="3"/>
    </row>
    <row r="174">
      <c r="A174" s="3"/>
      <c r="B174" s="3"/>
      <c r="C174" s="3"/>
      <c r="D174" s="3"/>
      <c r="N174" s="3"/>
    </row>
    <row r="175">
      <c r="A175" s="3"/>
      <c r="B175" s="3"/>
      <c r="C175" s="3"/>
      <c r="D175" s="3"/>
      <c r="N175" s="3"/>
    </row>
    <row r="176">
      <c r="A176" s="3"/>
      <c r="B176" s="3"/>
      <c r="C176" s="3"/>
      <c r="D176" s="3"/>
      <c r="N176" s="3"/>
    </row>
    <row r="177">
      <c r="A177" s="3"/>
      <c r="B177" s="3"/>
      <c r="C177" s="3"/>
      <c r="D177" s="3"/>
      <c r="N177" s="3"/>
    </row>
    <row r="178">
      <c r="A178" s="3"/>
      <c r="B178" s="3"/>
      <c r="C178" s="3"/>
      <c r="D178" s="3"/>
      <c r="N178" s="3"/>
    </row>
    <row r="179">
      <c r="A179" s="3"/>
      <c r="B179" s="3"/>
      <c r="C179" s="3"/>
      <c r="D179" s="3"/>
      <c r="N179" s="3"/>
    </row>
    <row r="180">
      <c r="A180" s="3"/>
      <c r="B180" s="3"/>
      <c r="C180" s="3"/>
      <c r="D180" s="3"/>
      <c r="N180" s="3"/>
    </row>
    <row r="181">
      <c r="A181" s="3"/>
      <c r="B181" s="3"/>
      <c r="C181" s="3"/>
      <c r="D181" s="3"/>
      <c r="N181" s="3"/>
    </row>
    <row r="182">
      <c r="A182" s="3"/>
      <c r="B182" s="3"/>
      <c r="C182" s="3"/>
      <c r="D182" s="3"/>
      <c r="N182" s="3"/>
    </row>
    <row r="183">
      <c r="A183" s="3"/>
      <c r="B183" s="3"/>
      <c r="C183" s="3"/>
      <c r="D183" s="3"/>
      <c r="N183" s="3"/>
    </row>
    <row r="184">
      <c r="A184" s="3"/>
      <c r="B184" s="3"/>
      <c r="C184" s="3"/>
      <c r="D184" s="3"/>
      <c r="N184" s="3"/>
    </row>
    <row r="185">
      <c r="A185" s="3"/>
      <c r="B185" s="3"/>
      <c r="C185" s="3"/>
      <c r="D185" s="3"/>
      <c r="N185" s="3"/>
    </row>
    <row r="186">
      <c r="A186" s="3"/>
      <c r="B186" s="3"/>
      <c r="C186" s="3"/>
      <c r="D186" s="3"/>
      <c r="N186" s="3"/>
    </row>
    <row r="187">
      <c r="A187" s="3"/>
      <c r="B187" s="3"/>
      <c r="C187" s="3"/>
      <c r="D187" s="3"/>
      <c r="N187" s="3"/>
    </row>
    <row r="188">
      <c r="A188" s="3"/>
      <c r="B188" s="3"/>
      <c r="C188" s="3"/>
      <c r="D188" s="3"/>
      <c r="N188" s="3"/>
    </row>
  </sheetData>
  <mergeCells count="4">
    <mergeCell ref="A2:A3"/>
    <mergeCell ref="C2:C3"/>
    <mergeCell ref="A20:A26"/>
    <mergeCell ref="B23:J2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34" width="16.59" customWidth="1"/>
  </cols>
  <sheetData>
    <row r="1">
      <c r="A1" s="4"/>
      <c r="B1" s="4"/>
      <c r="C1" s="4" t="s">
        <v>3415</v>
      </c>
      <c r="D1" s="4" t="s">
        <v>3416</v>
      </c>
      <c r="E1" s="4" t="s">
        <v>3417</v>
      </c>
      <c r="F1" s="4" t="s">
        <v>3418</v>
      </c>
      <c r="G1" s="4" t="s">
        <v>3419</v>
      </c>
      <c r="H1" s="4" t="s">
        <v>3420</v>
      </c>
      <c r="I1" s="4" t="s">
        <v>3421</v>
      </c>
      <c r="J1" s="4" t="s">
        <v>3422</v>
      </c>
      <c r="K1" s="4" t="s">
        <v>3423</v>
      </c>
      <c r="L1" s="4" t="s">
        <v>3424</v>
      </c>
      <c r="M1" s="4" t="s">
        <v>3425</v>
      </c>
      <c r="N1" s="4"/>
      <c r="O1" s="4"/>
      <c r="P1" s="4"/>
      <c r="Q1" s="4"/>
      <c r="R1" s="4"/>
      <c r="S1" s="4"/>
      <c r="T1" s="4"/>
      <c r="U1" s="4"/>
      <c r="V1" s="4"/>
      <c r="W1" s="4"/>
      <c r="X1" s="236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0" t="s">
        <v>3426</v>
      </c>
      <c r="B2" s="7" t="s">
        <v>3427</v>
      </c>
      <c r="C2" s="8" t="n">
        <v>468183</v>
      </c>
      <c r="D2" s="8" t="n">
        <v>962000</v>
      </c>
      <c r="E2" s="8" t="n">
        <v>2852000</v>
      </c>
      <c r="F2" s="8" t="n">
        <v>6949000</v>
      </c>
      <c r="G2" s="8" t="n">
        <v>3231000</v>
      </c>
      <c r="H2" s="8" t="n">
        <v>3022983</v>
      </c>
      <c r="I2" s="8" t="n">
        <v>1578443</v>
      </c>
      <c r="J2" s="8" t="n">
        <v>2249208</v>
      </c>
      <c r="K2" s="8" t="n">
        <v>3612339</v>
      </c>
      <c r="L2" s="8" t="n">
        <v>292049</v>
      </c>
      <c r="M2" s="42" t="s">
        <v>3428</v>
      </c>
      <c r="N2" s="4"/>
      <c r="O2" s="4"/>
      <c r="P2" s="4"/>
      <c r="Q2" s="4"/>
      <c r="R2" s="4"/>
      <c r="S2" s="4"/>
      <c r="T2" s="4"/>
      <c r="U2" s="4"/>
      <c r="V2" s="4"/>
      <c r="W2" s="4"/>
      <c r="X2" s="236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0"/>
      <c r="B3" s="7" t="s">
        <v>3429</v>
      </c>
      <c r="C3" s="8" t="n">
        <v>-1000</v>
      </c>
      <c r="D3" s="8" t="n">
        <v>823</v>
      </c>
      <c r="E3" s="8" t="n">
        <v>7481</v>
      </c>
      <c r="F3" s="8" t="n">
        <v>8000</v>
      </c>
      <c r="G3" s="8" t="n">
        <v>4000</v>
      </c>
      <c r="H3" s="8" t="n">
        <v>10285</v>
      </c>
      <c r="I3" s="8" t="n">
        <v>7857</v>
      </c>
      <c r="J3" s="8" t="n">
        <v>2806</v>
      </c>
      <c r="K3" s="8" t="n">
        <v>2559</v>
      </c>
      <c r="L3" s="8" t="n">
        <v>537</v>
      </c>
      <c r="M3" s="42" t="s">
        <v>3430</v>
      </c>
      <c r="N3" s="4"/>
      <c r="O3" s="4"/>
      <c r="P3" s="4"/>
      <c r="Q3" s="4"/>
      <c r="R3" s="4"/>
      <c r="S3" s="4"/>
      <c r="T3" s="4"/>
      <c r="U3" s="4"/>
      <c r="V3" s="4"/>
      <c r="W3" s="4"/>
      <c r="X3" s="236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0" t="s">
        <v>3431</v>
      </c>
      <c r="B4" s="7" t="s">
        <v>3432</v>
      </c>
      <c r="C4" s="8" t="n">
        <v>477120</v>
      </c>
      <c r="D4" s="8" t="n">
        <v>1839490</v>
      </c>
      <c r="E4" s="8" t="n">
        <v>3764897.3</v>
      </c>
      <c r="F4" s="8" t="n">
        <v>7297256.9</v>
      </c>
      <c r="G4" s="8" t="n">
        <v>3033751</v>
      </c>
      <c r="H4" s="8" t="n">
        <v>4148065</v>
      </c>
      <c r="I4" s="8" t="n">
        <v>2194674</v>
      </c>
      <c r="J4" s="8" t="n">
        <v>2615867</v>
      </c>
      <c r="K4" s="8" t="n">
        <v>6406168</v>
      </c>
      <c r="L4" s="8" t="n">
        <v>269247</v>
      </c>
      <c r="M4" s="42" t="s">
        <v>3433</v>
      </c>
      <c r="N4" s="4"/>
      <c r="O4" s="4"/>
      <c r="P4" s="4"/>
      <c r="Q4" s="4"/>
      <c r="R4" s="4"/>
      <c r="S4" s="4"/>
      <c r="T4" s="4"/>
      <c r="U4" s="4"/>
      <c r="V4" s="4"/>
      <c r="W4" s="4"/>
      <c r="X4" s="236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0"/>
      <c r="B5" s="7" t="s">
        <v>3434</v>
      </c>
      <c r="C5" s="8" t="n">
        <v>-1394</v>
      </c>
      <c r="D5" s="8" t="n">
        <v>10876</v>
      </c>
      <c r="E5" s="8" t="n">
        <v>28699</v>
      </c>
      <c r="F5" s="8" t="n">
        <v>42655</v>
      </c>
      <c r="G5" s="8" t="n">
        <v>16000</v>
      </c>
      <c r="H5" s="8" t="n">
        <v>46752</v>
      </c>
      <c r="I5" s="8" t="n">
        <v>14602</v>
      </c>
      <c r="J5" s="8" t="n">
        <v>15033</v>
      </c>
      <c r="K5" s="8" t="n">
        <v>3932</v>
      </c>
      <c r="L5" s="8" t="n">
        <v>585</v>
      </c>
      <c r="M5" s="42" t="s">
        <v>3435</v>
      </c>
      <c r="N5" s="4"/>
      <c r="O5" s="4"/>
      <c r="P5" s="4"/>
      <c r="Q5" s="4"/>
      <c r="R5" s="4"/>
      <c r="S5" s="4"/>
      <c r="T5" s="4"/>
      <c r="U5" s="4"/>
      <c r="V5" s="4"/>
      <c r="W5" s="4"/>
      <c r="X5" s="236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56" t="s">
        <v>3436</v>
      </c>
      <c r="B6" s="47" t="s">
        <v>3437</v>
      </c>
      <c r="C6" s="340" t="n">
        <v>439660</v>
      </c>
      <c r="D6" s="340" t="n">
        <v>397416</v>
      </c>
      <c r="E6" s="340" t="n">
        <v>2753000</v>
      </c>
      <c r="F6" s="340" t="n">
        <v>30980000</v>
      </c>
      <c r="G6" s="340" t="n">
        <v>9411000</v>
      </c>
      <c r="H6" s="340" t="n">
        <v>2654638</v>
      </c>
      <c r="I6" s="340" t="n">
        <v>2398063</v>
      </c>
      <c r="J6" s="340" t="n">
        <v>4485965</v>
      </c>
      <c r="K6" s="340" t="n">
        <v>2949757</v>
      </c>
      <c r="L6" s="340" t="n">
        <v>534207</v>
      </c>
      <c r="M6" s="340" t="n">
        <v>31200</v>
      </c>
      <c r="N6" s="361"/>
      <c r="O6" s="45"/>
      <c r="P6" s="45"/>
      <c r="Q6" s="362"/>
      <c r="R6" s="362"/>
      <c r="S6" s="362"/>
      <c r="T6" s="362"/>
      <c r="U6" s="362"/>
      <c r="V6" s="362"/>
      <c r="W6" s="362"/>
      <c r="X6" s="363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56"/>
      <c r="B7" s="47" t="s">
        <v>3438</v>
      </c>
      <c r="C7" s="340" t="n">
        <v>-27</v>
      </c>
      <c r="D7" s="340" t="n">
        <v>1328</v>
      </c>
      <c r="E7" s="340" t="n">
        <v>1917</v>
      </c>
      <c r="F7" s="340" t="n">
        <v>56000</v>
      </c>
      <c r="G7" s="340" t="n">
        <v>20000</v>
      </c>
      <c r="H7" s="340" t="n">
        <v>34000</v>
      </c>
      <c r="I7" s="340" t="n">
        <v>17416</v>
      </c>
      <c r="J7" s="340" t="n">
        <v>12233</v>
      </c>
      <c r="K7" s="340" t="n">
        <v>4191</v>
      </c>
      <c r="L7" s="340" t="n">
        <v>357</v>
      </c>
      <c r="M7" s="340" t="n">
        <v>55</v>
      </c>
      <c r="N7" s="361"/>
      <c r="O7" s="45"/>
      <c r="P7" s="45"/>
      <c r="Q7" s="362"/>
      <c r="R7" s="362"/>
      <c r="S7" s="362"/>
      <c r="T7" s="362"/>
      <c r="U7" s="362"/>
      <c r="V7" s="362"/>
      <c r="W7" s="362"/>
      <c r="X7" s="363"/>
      <c r="Y7" s="5"/>
      <c r="Z7" s="5"/>
      <c r="AA7" s="5"/>
      <c r="AB7" s="5"/>
      <c r="AC7" s="5"/>
      <c r="AD7" s="5"/>
      <c r="AE7" s="5"/>
      <c r="AF7" s="5"/>
      <c r="AG7" s="5"/>
      <c r="AH7" s="5"/>
    </row>
    <row r="8"/>
    <row r="9">
      <c r="A9" s="4"/>
      <c r="B9" s="4"/>
      <c r="C9" s="4" t="s">
        <v>3439</v>
      </c>
      <c r="D9" s="4" t="s">
        <v>3440</v>
      </c>
      <c r="E9" s="4" t="s">
        <v>3441</v>
      </c>
      <c r="F9" s="4" t="s">
        <v>3442</v>
      </c>
      <c r="G9" s="4" t="s">
        <v>3443</v>
      </c>
      <c r="H9" s="4" t="s">
        <v>3444</v>
      </c>
      <c r="I9" s="4" t="s">
        <v>3445</v>
      </c>
      <c r="J9" s="4" t="s">
        <v>3446</v>
      </c>
      <c r="K9" s="4" t="s">
        <v>3447</v>
      </c>
      <c r="L9" s="4" t="s">
        <v>3448</v>
      </c>
      <c r="M9" s="4" t="s">
        <v>3449</v>
      </c>
    </row>
    <row r="10">
      <c r="A10" s="10" t="s">
        <v>3450</v>
      </c>
      <c r="B10" s="7" t="s">
        <v>3451</v>
      </c>
      <c r="C10" s="8" t="n">
        <v>563178</v>
      </c>
      <c r="D10" s="8" t="n">
        <v>955823</v>
      </c>
      <c r="E10" s="8" t="n">
        <v>1666481</v>
      </c>
      <c r="F10" s="8" t="n">
        <v>7332000</v>
      </c>
      <c r="G10" s="8" t="n">
        <v>3218000</v>
      </c>
      <c r="H10" s="8" t="n">
        <v>3470198</v>
      </c>
      <c r="I10" s="8" t="n">
        <v>1972405</v>
      </c>
      <c r="J10" s="8" t="n">
        <v>1109050</v>
      </c>
      <c r="K10" s="8" t="n">
        <v>2055990</v>
      </c>
      <c r="L10" s="8" t="n">
        <v>178321</v>
      </c>
      <c r="M10" s="42" t="n">
        <v>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>
      <c r="A11" s="10"/>
      <c r="B11" s="7" t="s">
        <v>3452</v>
      </c>
      <c r="C11" s="8" t="n">
        <v>-2149</v>
      </c>
      <c r="D11" s="8" t="n">
        <v>12364</v>
      </c>
      <c r="E11" s="8" t="n">
        <v>8321</v>
      </c>
      <c r="F11" s="8" t="n">
        <v>17000</v>
      </c>
      <c r="G11" s="8" t="n">
        <v>13000</v>
      </c>
      <c r="H11" s="8" t="n">
        <v>33000</v>
      </c>
      <c r="I11" s="8" t="n">
        <v>14569</v>
      </c>
      <c r="J11" s="8" t="n">
        <v>11876</v>
      </c>
      <c r="K11" s="8" t="n">
        <v>8703</v>
      </c>
      <c r="L11" s="8" t="n">
        <v>755</v>
      </c>
      <c r="M11" s="42" t="s">
        <v>3453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>
      <c r="A12" s="10" t="s">
        <v>3454</v>
      </c>
      <c r="B12" s="7" t="s">
        <v>3455</v>
      </c>
      <c r="C12" s="8" t="n">
        <v>234341</v>
      </c>
      <c r="D12" s="8" t="n">
        <v>1703989</v>
      </c>
      <c r="E12" s="8" t="n">
        <v>2970000</v>
      </c>
      <c r="F12" s="8" t="n">
        <v>3517053.4</v>
      </c>
      <c r="G12" s="8" t="n">
        <v>2344017</v>
      </c>
      <c r="H12" s="8" t="n">
        <v>1786726</v>
      </c>
      <c r="I12" s="8" t="n">
        <v>1436972</v>
      </c>
      <c r="J12" s="8" t="n">
        <v>1459494</v>
      </c>
      <c r="K12" s="8" t="n">
        <v>3352092</v>
      </c>
      <c r="L12" s="8" t="n">
        <v>134169</v>
      </c>
      <c r="M12" s="42" t="s">
        <v>3456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>
      <c r="A13" s="56"/>
      <c r="B13" s="47" t="s">
        <v>3457</v>
      </c>
      <c r="C13" s="340" t="n">
        <v>-513</v>
      </c>
      <c r="D13" s="340" t="n">
        <v>5509</v>
      </c>
      <c r="E13" s="340" t="n">
        <v>9682</v>
      </c>
      <c r="F13" s="340" t="n">
        <v>8738</v>
      </c>
      <c r="G13" s="340" t="n">
        <v>10000</v>
      </c>
      <c r="H13" s="340" t="n">
        <v>16653</v>
      </c>
      <c r="I13" s="340" t="n">
        <v>-958034</v>
      </c>
      <c r="J13" s="340" t="n">
        <v>4430</v>
      </c>
      <c r="K13" s="340" t="n">
        <v>2075</v>
      </c>
      <c r="L13" s="340" t="n">
        <v>484</v>
      </c>
      <c r="M13" s="340" t="s">
        <v>3458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>
      <c r="A14" s="3" t="s">
        <v>3459</v>
      </c>
      <c r="B14" s="3" t="s">
        <v>3460</v>
      </c>
      <c r="C14" s="3" t="n">
        <v>187100</v>
      </c>
      <c r="D14" s="3" t="n">
        <v>4640647</v>
      </c>
      <c r="E14" s="3" t="n">
        <v>1665031.5</v>
      </c>
      <c r="F14" s="3" t="n">
        <v>4548051</v>
      </c>
      <c r="G14" s="3" t="n">
        <v>1082506</v>
      </c>
      <c r="H14" s="3" t="n">
        <v>583808</v>
      </c>
      <c r="I14" s="3" t="n">
        <v>905004</v>
      </c>
      <c r="J14" s="3" t="n">
        <v>538745</v>
      </c>
      <c r="K14" s="3" t="n">
        <v>1402769</v>
      </c>
      <c r="L14" s="3" t="n">
        <v>71970</v>
      </c>
      <c r="M14" s="3" t="n">
        <v>27480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>
      <c r="A15" s="3"/>
      <c r="B15" s="3" t="s">
        <v>3461</v>
      </c>
      <c r="C15" s="3" t="n">
        <v>793</v>
      </c>
      <c r="D15" s="3" t="n">
        <v>13890</v>
      </c>
      <c r="E15" s="3" t="n">
        <v>8832</v>
      </c>
      <c r="F15" s="3" t="n">
        <v>12000</v>
      </c>
      <c r="G15" s="3" t="n">
        <v>3000</v>
      </c>
      <c r="H15" s="3" t="n">
        <v>5608</v>
      </c>
      <c r="I15" s="3" t="n">
        <v>9730</v>
      </c>
      <c r="J15" s="3" t="n">
        <v>5302</v>
      </c>
      <c r="K15" s="3" t="n">
        <v>1518</v>
      </c>
      <c r="L15" s="3" t="n">
        <v>430</v>
      </c>
      <c r="M15" s="3" t="n">
        <v>0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>
      <c r="A16" s="223" t="s">
        <v>3462</v>
      </c>
      <c r="B16" s="223" t="s">
        <v>3463</v>
      </c>
      <c r="C16" s="223" t="s">
        <v>3464</v>
      </c>
      <c r="D16" s="223" t="n">
        <v>1247712</v>
      </c>
      <c r="E16" s="223" t="n">
        <v>2636628.1</v>
      </c>
      <c r="F16" s="223" t="n">
        <v>4744900</v>
      </c>
      <c r="G16" s="223" t="n">
        <v>2481008</v>
      </c>
      <c r="H16" s="223" t="n">
        <v>1191670</v>
      </c>
      <c r="I16" s="223" t="n">
        <v>830657</v>
      </c>
      <c r="J16" s="223" t="n">
        <v>527010</v>
      </c>
      <c r="K16" s="223" t="n">
        <v>1579950</v>
      </c>
      <c r="L16" s="223" t="n">
        <v>77444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>
      <c r="A17" s="3"/>
      <c r="B17" s="223" t="s">
        <v>3465</v>
      </c>
      <c r="C17" s="223" t="s">
        <v>3466</v>
      </c>
      <c r="D17" s="223" t="n">
        <v>7703</v>
      </c>
      <c r="E17" s="223" t="n">
        <v>10374</v>
      </c>
      <c r="F17" s="223" t="n">
        <v>5000</v>
      </c>
      <c r="G17" s="223" t="n">
        <v>12000</v>
      </c>
      <c r="H17" s="223" t="n">
        <v>14209</v>
      </c>
      <c r="I17" s="223" t="n">
        <v>7178</v>
      </c>
      <c r="J17" s="223" t="n">
        <v>142873</v>
      </c>
      <c r="K17" s="223" t="n">
        <v>2229</v>
      </c>
      <c r="L17" s="223" t="n">
        <v>1453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>
      <c r="A18" s="223" t="s">
        <v>3467</v>
      </c>
      <c r="B18" s="223" t="s">
        <v>3468</v>
      </c>
      <c r="C18" s="223" t="s">
        <v>3469</v>
      </c>
      <c r="D18" s="223" t="n">
        <v>2033246</v>
      </c>
      <c r="E18" s="223" t="n">
        <v>1897101</v>
      </c>
      <c r="F18" s="223" t="n">
        <v>2900909.63</v>
      </c>
      <c r="G18" s="223" t="n">
        <v>1719912.7</v>
      </c>
      <c r="H18" s="223" t="n">
        <v>2516909</v>
      </c>
      <c r="I18" s="223" t="n">
        <v>8574424</v>
      </c>
      <c r="J18" s="223" t="n">
        <v>2399185</v>
      </c>
      <c r="K18" s="223" t="n">
        <v>4698260</v>
      </c>
      <c r="L18" s="223" t="n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>
      <c r="A19" s="3"/>
      <c r="B19" s="223" t="s">
        <v>3470</v>
      </c>
      <c r="C19" s="223" t="s">
        <v>3471</v>
      </c>
      <c r="D19" s="223" t="n">
        <v>4858</v>
      </c>
      <c r="E19" s="223" t="n">
        <v>4786</v>
      </c>
      <c r="F19" s="223" t="n">
        <v>8000</v>
      </c>
      <c r="G19" s="341" t="n">
        <v>13000</v>
      </c>
      <c r="H19" s="223" t="n">
        <v>16813</v>
      </c>
      <c r="I19" s="223" t="n">
        <v>15231</v>
      </c>
      <c r="J19" s="223" t="n">
        <v>12195</v>
      </c>
      <c r="K19" s="223" t="n">
        <v>1951</v>
      </c>
      <c r="L19" s="223" t="n">
        <v>-86519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>
      <c r="B20" s="364" t="s">
        <v>3472</v>
      </c>
      <c r="C20" s="365"/>
      <c r="D20" s="366" t="n">
        <v>67061</v>
      </c>
      <c r="E20" s="366" t="n">
        <v>108642</v>
      </c>
      <c r="F20" s="365" t="n">
        <v>304000</v>
      </c>
      <c r="G20" s="365" t="n">
        <v>17.3</v>
      </c>
      <c r="H20" s="367" t="n">
        <v>219742</v>
      </c>
      <c r="I20" s="368" t="n">
        <v>1002000</v>
      </c>
      <c r="J20" s="366" t="n">
        <v>155068</v>
      </c>
      <c r="K20" s="366" t="n">
        <v>373486</v>
      </c>
      <c r="L20" s="366" t="n">
        <v>373486</v>
      </c>
    </row>
    <row r="21">
      <c r="A21" s="4" t="s">
        <v>3473</v>
      </c>
      <c r="B21" s="4"/>
      <c r="C21" s="4" t="s">
        <v>3474</v>
      </c>
      <c r="D21" s="4" t="s">
        <v>3475</v>
      </c>
      <c r="E21" s="4" t="s">
        <v>3476</v>
      </c>
      <c r="F21" s="4" t="s">
        <v>3477</v>
      </c>
      <c r="G21" s="4" t="s">
        <v>3478</v>
      </c>
      <c r="H21" s="4" t="s">
        <v>3479</v>
      </c>
      <c r="I21" s="4" t="s">
        <v>3480</v>
      </c>
      <c r="J21" s="4" t="s">
        <v>3481</v>
      </c>
      <c r="K21" s="4" t="s">
        <v>3482</v>
      </c>
      <c r="L21" s="4" t="s">
        <v>3483</v>
      </c>
    </row>
    <row r="22">
      <c r="A22" s="56"/>
      <c r="B22" s="56" t="s">
        <v>3484</v>
      </c>
      <c r="C22" s="340" t="n">
        <v>-27</v>
      </c>
      <c r="D22" s="340" t="n">
        <v>1328</v>
      </c>
      <c r="E22" s="340" t="n">
        <v>1917</v>
      </c>
      <c r="F22" s="340" t="n">
        <v>56000</v>
      </c>
      <c r="G22" s="340" t="n">
        <v>20000</v>
      </c>
      <c r="H22" s="340" t="n">
        <v>34000</v>
      </c>
      <c r="I22" s="340" t="n">
        <v>17416</v>
      </c>
      <c r="J22" s="340" t="n">
        <v>12233</v>
      </c>
      <c r="K22" s="340" t="n">
        <v>4191</v>
      </c>
      <c r="L22" s="340" t="n">
        <v>357</v>
      </c>
    </row>
    <row r="23">
      <c r="A23" s="10"/>
      <c r="B23" s="10" t="s">
        <v>3485</v>
      </c>
      <c r="C23" s="8" t="n">
        <v>-1000</v>
      </c>
      <c r="D23" s="8" t="n">
        <v>823</v>
      </c>
      <c r="E23" s="8" t="n">
        <v>7481</v>
      </c>
      <c r="F23" s="8" t="n">
        <v>8000</v>
      </c>
      <c r="G23" s="8" t="n">
        <v>4000</v>
      </c>
      <c r="H23" s="8" t="n">
        <v>10285</v>
      </c>
      <c r="I23" s="8" t="n">
        <v>7857</v>
      </c>
      <c r="J23" s="8" t="n">
        <v>2806</v>
      </c>
      <c r="K23" s="8" t="n">
        <v>2559</v>
      </c>
      <c r="L23" s="8" t="n">
        <v>537</v>
      </c>
    </row>
    <row r="24">
      <c r="A24" s="10"/>
      <c r="B24" s="10" t="s">
        <v>3486</v>
      </c>
      <c r="C24" s="8" t="n">
        <v>-1394</v>
      </c>
      <c r="D24" s="8" t="n">
        <v>10876</v>
      </c>
      <c r="E24" s="8" t="n">
        <v>28699</v>
      </c>
      <c r="F24" s="8" t="n">
        <v>42655</v>
      </c>
      <c r="G24" s="8" t="n">
        <v>16000</v>
      </c>
      <c r="H24" s="8" t="n">
        <v>46752</v>
      </c>
      <c r="I24" s="8" t="n">
        <v>14602</v>
      </c>
      <c r="J24" s="8" t="n">
        <v>15033</v>
      </c>
      <c r="K24" s="8" t="n">
        <v>3932</v>
      </c>
      <c r="L24" s="8" t="n">
        <v>585</v>
      </c>
    </row>
    <row r="25"/>
    <row r="26">
      <c r="A26" s="4" t="s">
        <v>3487</v>
      </c>
      <c r="B26" s="369" t="s">
        <v>3488</v>
      </c>
      <c r="C26" s="369" t="s">
        <v>3489</v>
      </c>
      <c r="D26" s="369" t="s">
        <v>3490</v>
      </c>
      <c r="E26" s="369" t="s">
        <v>3491</v>
      </c>
      <c r="F26" s="369" t="s">
        <v>3492</v>
      </c>
      <c r="G26" s="369" t="s">
        <v>3493</v>
      </c>
      <c r="H26" s="369" t="s">
        <v>3494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>
      <c r="A27" s="56"/>
      <c r="B27" s="370" t="s">
        <v>3495</v>
      </c>
      <c r="C27" s="170" t="n">
        <v>-2149</v>
      </c>
      <c r="D27" s="170" t="n">
        <v>12364</v>
      </c>
      <c r="E27" s="170" t="n">
        <v>8321</v>
      </c>
      <c r="F27" s="170" t="n">
        <v>17000</v>
      </c>
      <c r="G27" s="170" t="n">
        <v>13000</v>
      </c>
      <c r="H27" s="170" t="n">
        <v>33000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>
      <c r="A28" s="10"/>
      <c r="B28" s="370" t="s">
        <v>3496</v>
      </c>
      <c r="C28" s="371" t="n">
        <v>-513</v>
      </c>
      <c r="D28" s="371" t="n">
        <v>5509</v>
      </c>
      <c r="E28" s="371" t="n">
        <v>9682</v>
      </c>
      <c r="F28" s="371" t="n">
        <v>8738</v>
      </c>
      <c r="G28" s="371" t="n">
        <v>10000</v>
      </c>
      <c r="H28" s="371" t="n">
        <v>16653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>
      <c r="A29" s="10"/>
      <c r="B29" s="174" t="s">
        <v>3497</v>
      </c>
      <c r="C29" s="174" t="n">
        <v>793</v>
      </c>
      <c r="D29" s="174" t="n">
        <v>13890</v>
      </c>
      <c r="E29" s="174" t="n">
        <v>8832</v>
      </c>
      <c r="F29" s="174" t="n">
        <v>12000</v>
      </c>
      <c r="G29" s="174" t="n">
        <v>3000</v>
      </c>
      <c r="H29" s="174" t="n">
        <v>5608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>
      <c r="A30" s="3"/>
      <c r="B30" s="372" t="s">
        <v>3498</v>
      </c>
      <c r="C30" s="373">
        <f>(C29-C28)/(-C28)</f>
      </c>
      <c r="D30" s="374">
        <f>(D29-D28)/D28</f>
      </c>
      <c r="E30" s="374">
        <f>(E29-E28)/E28</f>
      </c>
      <c r="F30" s="374">
        <f>(F29-F28)/F28</f>
      </c>
      <c r="G30" s="374">
        <f>(G29-G28)/G28</f>
      </c>
      <c r="H30" s="374">
        <f>(H29-H28)/H28</f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>
      <c r="A31" s="3"/>
      <c r="B31" s="372" t="s">
        <v>3499</v>
      </c>
      <c r="C31" s="374">
        <f>(C29-C27)/C27</f>
      </c>
      <c r="D31" s="374">
        <f>(D29-D27)/D27</f>
      </c>
      <c r="E31" s="374">
        <f>(E29-E27)/E27</f>
      </c>
      <c r="F31" s="374">
        <f>(F29-F27)/F27</f>
      </c>
      <c r="G31" s="374">
        <f>(G29-G27)/G27</f>
      </c>
      <c r="H31" s="374">
        <f>(H29-H27)/H27</f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/>
    <row r="33">
      <c r="A33" s="7" t="s">
        <v>3500</v>
      </c>
      <c r="B33" s="4"/>
      <c r="C33" s="4" t="s">
        <v>3501</v>
      </c>
      <c r="D33" s="4" t="s">
        <v>3502</v>
      </c>
      <c r="E33" s="4" t="s">
        <v>3503</v>
      </c>
      <c r="F33" s="4" t="s">
        <v>3504</v>
      </c>
      <c r="G33" s="4" t="s">
        <v>3505</v>
      </c>
      <c r="H33" s="4" t="s">
        <v>3506</v>
      </c>
      <c r="I33" s="4" t="s">
        <v>3507</v>
      </c>
      <c r="J33" s="4" t="s">
        <v>3508</v>
      </c>
      <c r="K33" s="4" t="s">
        <v>3509</v>
      </c>
      <c r="L33" s="4" t="s">
        <v>3510</v>
      </c>
    </row>
    <row r="34">
      <c r="A34" s="56"/>
      <c r="B34" s="56" t="s">
        <v>3511</v>
      </c>
      <c r="C34" s="375">
        <f>C38/10000</f>
      </c>
      <c r="D34" s="375">
        <f>D38/10000</f>
      </c>
      <c r="E34" s="375">
        <f>E38/10000</f>
      </c>
      <c r="F34" s="375">
        <f>F38/10000</f>
      </c>
      <c r="G34" s="375">
        <f>G38/10000</f>
      </c>
      <c r="H34" s="375">
        <f>H38/10000</f>
      </c>
      <c r="I34" s="340" t="n">
        <v>2398063</v>
      </c>
      <c r="J34" s="340" t="n">
        <v>4485965</v>
      </c>
      <c r="K34" s="340" t="n">
        <v>2949757</v>
      </c>
      <c r="L34" s="340" t="n">
        <v>534207</v>
      </c>
    </row>
    <row r="35">
      <c r="A35" s="10"/>
      <c r="B35" s="10" t="s">
        <v>3512</v>
      </c>
      <c r="C35" s="375">
        <f>C39/10000</f>
      </c>
      <c r="D35" s="375">
        <f>D39/10000</f>
      </c>
      <c r="E35" s="375">
        <f>E39/10000</f>
      </c>
      <c r="F35" s="375">
        <f>F39/10000</f>
      </c>
      <c r="G35" s="375">
        <f>G39/10000</f>
      </c>
      <c r="H35" s="375">
        <f>H39/10000</f>
      </c>
      <c r="I35" s="8" t="n">
        <v>1578443</v>
      </c>
      <c r="J35" s="8" t="n">
        <v>2249208</v>
      </c>
      <c r="K35" s="8" t="n">
        <v>3612339</v>
      </c>
      <c r="L35" s="8" t="n">
        <v>292049</v>
      </c>
    </row>
    <row r="36">
      <c r="A36" s="10"/>
      <c r="B36" s="10" t="s">
        <v>3513</v>
      </c>
      <c r="C36" s="375">
        <f>C40/10000</f>
      </c>
      <c r="D36" s="375">
        <f>D40/10000</f>
      </c>
      <c r="E36" s="375">
        <f>E40/10000</f>
      </c>
      <c r="F36" s="375">
        <f>F40/10000</f>
      </c>
      <c r="G36" s="375">
        <f>G40/10000</f>
      </c>
      <c r="H36" s="375">
        <f>H40/10000</f>
      </c>
      <c r="I36" s="8" t="n">
        <v>2194674</v>
      </c>
      <c r="J36" s="8" t="n">
        <v>2615867</v>
      </c>
      <c r="K36" s="8" t="n">
        <v>6406168</v>
      </c>
      <c r="L36" s="8" t="n">
        <v>269247</v>
      </c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>
      <c r="A38" s="3"/>
      <c r="B38" s="56" t="s">
        <v>3514</v>
      </c>
      <c r="C38" s="340" t="n">
        <v>439660</v>
      </c>
      <c r="D38" s="340" t="n">
        <v>397416</v>
      </c>
      <c r="E38" s="340" t="n">
        <v>2753000</v>
      </c>
      <c r="F38" s="340" t="n">
        <v>30980000</v>
      </c>
      <c r="G38" s="340" t="n">
        <v>9411000</v>
      </c>
      <c r="H38" s="340" t="n">
        <v>2654638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>
      <c r="A39" s="3"/>
      <c r="B39" s="10" t="s">
        <v>3515</v>
      </c>
      <c r="C39" s="8" t="n">
        <v>468183</v>
      </c>
      <c r="D39" s="8" t="n">
        <v>962000</v>
      </c>
      <c r="E39" s="8" t="n">
        <v>2852000</v>
      </c>
      <c r="F39" s="8" t="n">
        <v>6949000</v>
      </c>
      <c r="G39" s="8" t="n">
        <v>3231000</v>
      </c>
      <c r="H39" s="8" t="n">
        <v>3022983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>
      <c r="B40" s="10" t="s">
        <v>3516</v>
      </c>
      <c r="C40" s="8" t="n">
        <v>477120</v>
      </c>
      <c r="D40" s="8" t="n">
        <v>1839490</v>
      </c>
      <c r="E40" s="8" t="n">
        <v>3764897.3</v>
      </c>
      <c r="F40" s="8" t="n">
        <v>7297256.9</v>
      </c>
      <c r="G40" s="8" t="n">
        <v>3033751</v>
      </c>
      <c r="H40" s="8" t="n">
        <v>4148065</v>
      </c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>
      <c r="A42" s="7" t="s">
        <v>3517</v>
      </c>
      <c r="B42" s="4"/>
      <c r="C42" s="4" t="s">
        <v>3518</v>
      </c>
      <c r="D42" s="4" t="s">
        <v>3519</v>
      </c>
      <c r="E42" s="4" t="s">
        <v>3520</v>
      </c>
      <c r="F42" s="4" t="s">
        <v>3521</v>
      </c>
      <c r="G42" s="4" t="s">
        <v>3522</v>
      </c>
      <c r="H42" s="4" t="s">
        <v>3523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>
      <c r="A43" s="56"/>
      <c r="B43" s="10" t="s">
        <v>3524</v>
      </c>
      <c r="C43" s="8" t="n">
        <v>56</v>
      </c>
      <c r="D43" s="8" t="n">
        <v>96</v>
      </c>
      <c r="E43" s="8" t="n">
        <v>167</v>
      </c>
      <c r="F43" s="8" t="n">
        <v>733</v>
      </c>
      <c r="G43" s="8" t="n">
        <v>321</v>
      </c>
      <c r="H43" s="8" t="n">
        <v>347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>
      <c r="A44" s="10"/>
      <c r="B44" s="10" t="s">
        <v>3525</v>
      </c>
      <c r="C44" s="8" t="n">
        <v>23</v>
      </c>
      <c r="D44" s="8" t="n">
        <v>170</v>
      </c>
      <c r="E44" s="8" t="n">
        <v>297</v>
      </c>
      <c r="F44" s="8" t="n">
        <v>352</v>
      </c>
      <c r="G44" s="8" t="n">
        <v>234</v>
      </c>
      <c r="H44" s="8" t="n">
        <v>179</v>
      </c>
      <c r="I44" s="376" t="s">
        <v>3526</v>
      </c>
      <c r="J44" s="376" t="s">
        <v>3527</v>
      </c>
      <c r="K44" s="376" t="s">
        <v>3528</v>
      </c>
      <c r="L44" s="376" t="s">
        <v>3529</v>
      </c>
      <c r="M44" s="376" t="s">
        <v>3530</v>
      </c>
      <c r="N44" s="376" t="s">
        <v>3531</v>
      </c>
      <c r="O44" s="376" t="s">
        <v>3532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>
      <c r="A45" s="10"/>
      <c r="B45" s="3" t="s">
        <v>3533</v>
      </c>
      <c r="C45" s="3" t="n">
        <v>19</v>
      </c>
      <c r="D45" s="3" t="n">
        <v>464</v>
      </c>
      <c r="E45" s="3" t="n">
        <v>167</v>
      </c>
      <c r="F45" s="3" t="n">
        <v>455</v>
      </c>
      <c r="G45" s="3" t="n">
        <v>108</v>
      </c>
      <c r="H45" s="3" t="n">
        <v>58</v>
      </c>
      <c r="I45" s="377" t="s">
        <v>3534</v>
      </c>
      <c r="J45" s="378" t="n">
        <v>-2.55</v>
      </c>
      <c r="K45" s="378" t="n">
        <v>1.52</v>
      </c>
      <c r="L45" s="378" t="n">
        <v>-0.09</v>
      </c>
      <c r="M45" s="378" t="n">
        <v>0.37</v>
      </c>
      <c r="N45" s="378" t="n">
        <v>-0.7</v>
      </c>
      <c r="O45" s="378" t="n">
        <v>-0.66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>
      <c r="A46" s="3"/>
      <c r="B46" s="223" t="s">
        <v>3535</v>
      </c>
      <c r="C46" s="379">
        <f>(C45-C44)/C44</f>
      </c>
      <c r="D46" s="379">
        <f>(D45-D44)/D44</f>
      </c>
      <c r="E46" s="379">
        <f>(E45-E44)/E44</f>
      </c>
      <c r="F46" s="379">
        <f>(F45-F44)/F44</f>
      </c>
      <c r="G46" s="379">
        <f>(G45-G44)/G44</f>
      </c>
      <c r="H46" s="379">
        <f>(H45-H44)/H44</f>
      </c>
      <c r="I46" s="377" t="s">
        <v>3536</v>
      </c>
      <c r="J46" s="378" t="n">
        <v>-1.37</v>
      </c>
      <c r="K46" s="378" t="n">
        <v>0.12</v>
      </c>
      <c r="L46" s="378" t="n">
        <v>0.06</v>
      </c>
      <c r="M46" s="378" t="n">
        <v>-0.29</v>
      </c>
      <c r="N46" s="378" t="n">
        <v>-0.77</v>
      </c>
      <c r="O46" s="378" t="n">
        <v>-0.83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>
      <c r="A47" s="3"/>
      <c r="B47" s="223" t="s">
        <v>3537</v>
      </c>
      <c r="C47" s="379">
        <f>(C45-C43)/C43</f>
      </c>
      <c r="D47" s="379">
        <f>(D45-D43)/D43</f>
      </c>
      <c r="E47" s="379">
        <f>(E45-E43)/E43</f>
      </c>
      <c r="F47" s="379">
        <f>(F45-F43)/F43</f>
      </c>
      <c r="G47" s="379">
        <f>(G45-G43)/G43</f>
      </c>
      <c r="H47" s="379">
        <f>(H45-H43)/H43</f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/>
    <row r="50">
      <c r="B50" s="223" t="s">
        <v>3538</v>
      </c>
      <c r="G50" s="223" t="s">
        <v>3539</v>
      </c>
      <c r="L50" s="380" t="s">
        <v>3540</v>
      </c>
      <c r="M50" s="380" t="s">
        <v>3541</v>
      </c>
      <c r="N50" s="380" t="s">
        <v>3542</v>
      </c>
    </row>
    <row r="51">
      <c r="B51" s="4"/>
      <c r="C51" s="56" t="s">
        <v>3543</v>
      </c>
      <c r="D51" s="10" t="s">
        <v>3544</v>
      </c>
      <c r="E51" s="10" t="s">
        <v>3545</v>
      </c>
      <c r="G51" s="4"/>
      <c r="H51" s="56" t="s">
        <v>3546</v>
      </c>
      <c r="I51" s="10" t="s">
        <v>3547</v>
      </c>
      <c r="J51" s="10" t="s">
        <v>3548</v>
      </c>
      <c r="L51" s="380" t="s">
        <v>3549</v>
      </c>
      <c r="M51" s="381" t="n">
        <v>-2.55</v>
      </c>
      <c r="N51" s="381" t="n">
        <v>-1.37</v>
      </c>
    </row>
    <row r="52">
      <c r="B52" s="4" t="s">
        <v>3550</v>
      </c>
      <c r="C52" s="340" t="n">
        <v>-27</v>
      </c>
      <c r="D52" s="8" t="n">
        <v>-1000</v>
      </c>
      <c r="E52" s="8" t="n">
        <v>-1394</v>
      </c>
      <c r="G52" s="4" t="s">
        <v>3551</v>
      </c>
      <c r="H52" s="340" t="n">
        <v>439660</v>
      </c>
      <c r="I52" s="8" t="n">
        <v>468183</v>
      </c>
      <c r="J52" s="8" t="n">
        <v>477120</v>
      </c>
      <c r="L52" s="380" t="s">
        <v>3552</v>
      </c>
      <c r="M52" s="381" t="n">
        <v>1.52</v>
      </c>
      <c r="N52" s="381" t="n">
        <v>0.12</v>
      </c>
    </row>
    <row r="53">
      <c r="B53" s="4" t="s">
        <v>3553</v>
      </c>
      <c r="C53" s="340" t="n">
        <v>1328</v>
      </c>
      <c r="D53" s="8" t="n">
        <v>823</v>
      </c>
      <c r="E53" s="8" t="n">
        <v>10876</v>
      </c>
      <c r="G53" s="4" t="s">
        <v>3554</v>
      </c>
      <c r="H53" s="340" t="n">
        <v>397416</v>
      </c>
      <c r="I53" s="8" t="n">
        <v>962000</v>
      </c>
      <c r="J53" s="8" t="n">
        <v>1839490</v>
      </c>
      <c r="L53" s="380" t="s">
        <v>3555</v>
      </c>
      <c r="M53" s="381" t="n">
        <v>-0.09</v>
      </c>
      <c r="N53" s="381" t="n">
        <v>0.06</v>
      </c>
    </row>
    <row r="54">
      <c r="B54" s="4" t="s">
        <v>3556</v>
      </c>
      <c r="C54" s="340" t="n">
        <v>1917</v>
      </c>
      <c r="D54" s="8" t="n">
        <v>7481</v>
      </c>
      <c r="E54" s="8" t="n">
        <v>28699</v>
      </c>
      <c r="G54" s="4" t="s">
        <v>3557</v>
      </c>
      <c r="H54" s="340" t="n">
        <v>2753000</v>
      </c>
      <c r="I54" s="8" t="n">
        <v>2852000</v>
      </c>
      <c r="J54" s="8" t="n">
        <v>3764897.3</v>
      </c>
      <c r="L54" s="380" t="s">
        <v>3558</v>
      </c>
      <c r="M54" s="381" t="n">
        <v>0.37</v>
      </c>
      <c r="N54" s="381" t="n">
        <v>-0.29</v>
      </c>
    </row>
    <row r="55">
      <c r="B55" s="4" t="s">
        <v>3559</v>
      </c>
      <c r="C55" s="340" t="n">
        <v>56000</v>
      </c>
      <c r="D55" s="8" t="n">
        <v>8000</v>
      </c>
      <c r="E55" s="8" t="n">
        <v>42655</v>
      </c>
      <c r="G55" s="4" t="s">
        <v>3560</v>
      </c>
      <c r="H55" s="340" t="n">
        <v>30980000</v>
      </c>
      <c r="I55" s="8" t="n">
        <v>6949000</v>
      </c>
      <c r="J55" s="8" t="n">
        <v>7297256.9</v>
      </c>
      <c r="L55" s="380" t="s">
        <v>3561</v>
      </c>
      <c r="M55" s="381" t="n">
        <v>-0.7</v>
      </c>
      <c r="N55" s="381" t="n">
        <v>-0.77</v>
      </c>
    </row>
    <row r="56">
      <c r="B56" s="4" t="s">
        <v>3562</v>
      </c>
      <c r="C56" s="340" t="n">
        <v>20000</v>
      </c>
      <c r="D56" s="8" t="n">
        <v>4000</v>
      </c>
      <c r="E56" s="8" t="n">
        <v>16000</v>
      </c>
      <c r="G56" s="4" t="s">
        <v>3563</v>
      </c>
      <c r="H56" s="340" t="n">
        <v>9411000</v>
      </c>
      <c r="I56" s="8" t="n">
        <v>3231000</v>
      </c>
      <c r="J56" s="8" t="n">
        <v>3033751</v>
      </c>
      <c r="L56" s="380" t="s">
        <v>3564</v>
      </c>
      <c r="M56" s="381" t="n">
        <v>-0.66</v>
      </c>
      <c r="N56" s="381" t="n">
        <v>-0.83</v>
      </c>
    </row>
    <row r="57">
      <c r="B57" s="4" t="s">
        <v>3565</v>
      </c>
      <c r="C57" s="340" t="n">
        <v>34000</v>
      </c>
      <c r="D57" s="8" t="n">
        <v>10285</v>
      </c>
      <c r="E57" s="8" t="n">
        <v>46752</v>
      </c>
      <c r="G57" s="4" t="s">
        <v>3566</v>
      </c>
      <c r="H57" s="340" t="n">
        <v>2654638</v>
      </c>
      <c r="I57" s="8" t="n">
        <v>3022983</v>
      </c>
      <c r="J57" s="8" t="n">
        <v>4148065</v>
      </c>
    </row>
    <row r="58">
      <c r="B58" s="4" t="s">
        <v>3567</v>
      </c>
      <c r="C58" s="340" t="n">
        <v>17416</v>
      </c>
      <c r="D58" s="8" t="n">
        <v>7857</v>
      </c>
      <c r="E58" s="8" t="n">
        <v>14602</v>
      </c>
      <c r="G58" s="4" t="s">
        <v>3568</v>
      </c>
      <c r="H58" s="340" t="n">
        <v>2398063</v>
      </c>
      <c r="I58" s="8" t="n">
        <v>1578443</v>
      </c>
      <c r="J58" s="8" t="n">
        <v>2194674</v>
      </c>
    </row>
    <row r="59">
      <c r="B59" s="4" t="s">
        <v>3569</v>
      </c>
      <c r="C59" s="340" t="n">
        <v>12233</v>
      </c>
      <c r="D59" s="8" t="n">
        <v>2806</v>
      </c>
      <c r="E59" s="8" t="n">
        <v>15033</v>
      </c>
      <c r="G59" s="4" t="s">
        <v>3570</v>
      </c>
      <c r="H59" s="340" t="n">
        <v>4485965</v>
      </c>
      <c r="I59" s="8" t="n">
        <v>2249208</v>
      </c>
      <c r="J59" s="8" t="n">
        <v>2615867</v>
      </c>
    </row>
    <row r="60">
      <c r="B60" s="4" t="s">
        <v>3571</v>
      </c>
      <c r="C60" s="340" t="n">
        <v>4191</v>
      </c>
      <c r="D60" s="8" t="n">
        <v>2559</v>
      </c>
      <c r="E60" s="8" t="n">
        <v>3932</v>
      </c>
      <c r="G60" s="4" t="s">
        <v>3572</v>
      </c>
      <c r="H60" s="340" t="n">
        <v>2949757</v>
      </c>
      <c r="I60" s="8" t="n">
        <v>3612339</v>
      </c>
      <c r="J60" s="8" t="n">
        <v>6406168</v>
      </c>
    </row>
    <row r="61">
      <c r="B61" s="4" t="s">
        <v>3573</v>
      </c>
      <c r="C61" s="340" t="n">
        <v>357</v>
      </c>
      <c r="D61" s="8" t="n">
        <v>537</v>
      </c>
      <c r="E61" s="8" t="n">
        <v>585</v>
      </c>
      <c r="G61" s="4" t="s">
        <v>3574</v>
      </c>
      <c r="H61" s="340" t="n">
        <v>534207</v>
      </c>
      <c r="I61" s="8" t="n">
        <v>292049</v>
      </c>
      <c r="J61" s="8" t="n">
        <v>269247</v>
      </c>
    </row>
    <row r="62"/>
    <row r="63"/>
    <row r="64"/>
    <row r="65"/>
    <row r="66">
      <c r="I66" s="379" t="n">
        <v>-0.17391304347826</v>
      </c>
      <c r="J66" s="379" t="n">
        <v>1.72941176470588</v>
      </c>
      <c r="K66" s="3" t="n">
        <v>-0.437710437710437</v>
      </c>
      <c r="L66" s="3" t="n">
        <v>0.292613636363636</v>
      </c>
      <c r="M66" s="3" t="n">
        <v>-0.538461538461538</v>
      </c>
      <c r="N66" s="3" t="n">
        <v>-0.675977653631284</v>
      </c>
    </row>
    <row r="67">
      <c r="I67" s="379" t="n">
        <v>-0.660714285714285</v>
      </c>
      <c r="J67" s="379" t="n">
        <v>3.83333333333333</v>
      </c>
      <c r="K67" s="3" t="n">
        <v>0</v>
      </c>
      <c r="L67" s="3" t="n">
        <v>-0.379263301500682</v>
      </c>
      <c r="M67" s="3" t="n">
        <v>-0.663551401869158</v>
      </c>
      <c r="N67" s="3" t="n">
        <v>-0.832853025936599</v>
      </c>
    </row>
    <row r="68">
      <c r="C68" s="3" t="n">
        <v>-0.17391304347826</v>
      </c>
      <c r="D68" s="3" t="n">
        <v>1.72941176470588</v>
      </c>
      <c r="E68" s="3" t="n">
        <v>-0.437710437710437</v>
      </c>
      <c r="F68" s="3" t="n">
        <v>0.292613636363636</v>
      </c>
      <c r="G68" s="3" t="n">
        <v>-0.538461538461538</v>
      </c>
      <c r="H68" s="3" t="n">
        <v>-0.675977653631284</v>
      </c>
      <c r="I68" s="379" t="n">
        <v>-0.17391304347826</v>
      </c>
      <c r="J68" s="379" t="n">
        <v>1.72941176470588</v>
      </c>
      <c r="K68" s="3" t="n">
        <v>-0.437710437710437</v>
      </c>
      <c r="L68" s="3" t="n">
        <v>0.292613636363636</v>
      </c>
      <c r="M68" s="3" t="n">
        <v>-0.538461538461538</v>
      </c>
      <c r="N68" s="3" t="n">
        <v>-0.675977653631284</v>
      </c>
    </row>
    <row r="69">
      <c r="C69" s="3" t="n">
        <v>-0.660714285714285</v>
      </c>
      <c r="D69" s="3" t="n">
        <v>3.83333333333333</v>
      </c>
      <c r="E69" s="3" t="n">
        <v>0</v>
      </c>
      <c r="F69" s="3" t="n">
        <v>-0.379263301500682</v>
      </c>
      <c r="G69" s="3" t="n">
        <v>-0.663551401869158</v>
      </c>
      <c r="H69" s="3" t="n">
        <v>-0.832853025936599</v>
      </c>
      <c r="I69" s="379" t="n">
        <v>-0.660714285714285</v>
      </c>
      <c r="J69" s="379" t="n">
        <v>3.83333333333333</v>
      </c>
      <c r="K69" s="3" t="n">
        <v>0</v>
      </c>
      <c r="L69" s="3" t="n">
        <v>-0.379263301500682</v>
      </c>
      <c r="M69" s="3" t="n">
        <v>-0.663551401869158</v>
      </c>
      <c r="N69" s="3" t="n">
        <v>-0.832853025936599</v>
      </c>
    </row>
    <row r="70">
      <c r="C70" s="379" t="n">
        <v>-0.17391304347826</v>
      </c>
      <c r="D70" s="379" t="n">
        <v>-0.660714285714285</v>
      </c>
      <c r="I70" s="379" t="n">
        <v>-0.17391304347826</v>
      </c>
      <c r="J70" s="379" t="n">
        <v>1.72941176470588</v>
      </c>
      <c r="K70" s="3" t="n">
        <v>-0.437710437710437</v>
      </c>
      <c r="L70" s="3" t="n">
        <v>0.292613636363636</v>
      </c>
      <c r="M70" s="3" t="n">
        <v>-0.538461538461538</v>
      </c>
      <c r="N70" s="3" t="n">
        <v>-0.675977653631284</v>
      </c>
    </row>
    <row r="71">
      <c r="C71" s="379" t="n">
        <v>1.72941176470588</v>
      </c>
      <c r="D71" s="379" t="n">
        <v>3.83333333333333</v>
      </c>
      <c r="I71" s="379" t="n">
        <v>-0.660714285714285</v>
      </c>
      <c r="J71" s="379" t="n">
        <v>3.83333333333333</v>
      </c>
      <c r="K71" s="3" t="n">
        <v>0</v>
      </c>
      <c r="L71" s="3" t="n">
        <v>-0.379263301500682</v>
      </c>
      <c r="M71" s="3" t="n">
        <v>-0.663551401869158</v>
      </c>
      <c r="N71" s="3" t="n">
        <v>-0.832853025936599</v>
      </c>
    </row>
    <row r="72">
      <c r="C72" s="379" t="n">
        <v>-0.437710437710437</v>
      </c>
      <c r="D72" s="379" t="n">
        <v>0</v>
      </c>
    </row>
    <row r="73">
      <c r="C73" s="379" t="n">
        <v>0.292613636363636</v>
      </c>
      <c r="D73" s="379" t="n">
        <v>-0.379263301500682</v>
      </c>
    </row>
    <row r="74">
      <c r="C74" s="379" t="n">
        <v>-0.538461538461538</v>
      </c>
      <c r="D74" s="379" t="n">
        <v>-0.663551401869158</v>
      </c>
    </row>
    <row r="75">
      <c r="C75" s="379" t="n">
        <v>-0.675977653631284</v>
      </c>
      <c r="D75" s="379" t="n">
        <v>-0.832853025936599</v>
      </c>
    </row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workbookViewId="0"/>
  </sheetViews>
  <sheetFormatPr baseColWidth="16" defaultRowHeight="16.5" customHeight="0" zeroHeight="0" thickTop="0" thickBottom="0"/>
  <cols>
    <col min="1" max="1" width="16.59" customWidth="1"/>
    <col min="2" max="2" width="12.75" customWidth="1"/>
    <col min="3" max="3" width="22.17" customWidth="1"/>
    <col min="4" max="18" width="16.59" customWidth="1"/>
  </cols>
  <sheetData>
    <row r="1"/>
    <row r="2"/>
    <row r="3">
      <c r="D3" s="16" t="s">
        <v>3575</v>
      </c>
      <c r="E3" s="10" t="s">
        <v>3576</v>
      </c>
      <c r="F3" s="16" t="s">
        <v>3577</v>
      </c>
      <c r="G3" s="16" t="s">
        <v>3578</v>
      </c>
      <c r="H3" s="16" t="s">
        <v>3579</v>
      </c>
    </row>
    <row r="4">
      <c r="B4" s="19" t="s">
        <v>3580</v>
      </c>
      <c r="C4" s="19" t="s">
        <v>3581</v>
      </c>
      <c r="D4" s="17" t="n">
        <v>7.1</v>
      </c>
      <c r="E4" s="17" t="n">
        <v>11.5</v>
      </c>
      <c r="F4" s="17" t="n">
        <v>30.13</v>
      </c>
      <c r="G4" s="17" t="n">
        <v>17.3</v>
      </c>
      <c r="H4" s="20" t="n">
        <v>22.5</v>
      </c>
      <c r="I4" s="3" t="n">
        <f>SUM(D4:H4)</f>
        <v>88.53</v>
      </c>
    </row>
    <row r="5">
      <c r="D5" s="10" t="n">
        <v>899000</v>
      </c>
      <c r="E5" s="6" t="n">
        <v>1714629</v>
      </c>
      <c r="F5" s="6" t="n">
        <v>3085400</v>
      </c>
      <c r="G5" s="17" t="n">
        <v>1560072</v>
      </c>
      <c r="H5" s="6" t="n">
        <v>892310</v>
      </c>
      <c r="I5" s="18" t="n">
        <v>423164</v>
      </c>
      <c r="J5" s="6" t="n">
        <v>482978</v>
      </c>
      <c r="K5" s="6" t="n">
        <v>600861</v>
      </c>
    </row>
    <row r="6">
      <c r="D6" s="382">
        <f>D5/3/10000</f>
      </c>
      <c r="E6" s="382">
        <f>E5/3/10000</f>
      </c>
      <c r="F6" s="382">
        <f>F5/3/10000</f>
      </c>
      <c r="G6" s="382">
        <f>G5/3/10000</f>
      </c>
      <c r="H6" s="382">
        <f>H5/3/10000</f>
      </c>
      <c r="I6" s="382">
        <f>I5/3/10000</f>
      </c>
      <c r="J6" s="382">
        <f>J5/3/10000</f>
      </c>
    </row>
    <row r="7">
      <c r="I7" s="382" t="n">
        <f>SUM(D6:H6)</f>
        <v>271.7137</v>
      </c>
    </row>
    <row r="8"/>
    <row r="9">
      <c r="D9" s="16" t="s">
        <v>3582</v>
      </c>
      <c r="E9" s="10" t="s">
        <v>3583</v>
      </c>
      <c r="F9" s="16" t="s">
        <v>3584</v>
      </c>
      <c r="G9" s="16" t="s">
        <v>3585</v>
      </c>
      <c r="H9" s="16" t="s">
        <v>3586</v>
      </c>
    </row>
    <row r="10">
      <c r="C10" s="223" t="s">
        <v>3587</v>
      </c>
      <c r="D10" s="382" t="n">
        <v>29.9666666666666</v>
      </c>
      <c r="E10" s="382" t="n">
        <v>57.1543</v>
      </c>
      <c r="F10" s="382" t="n">
        <v>102.846666666666</v>
      </c>
      <c r="G10" s="382" t="n">
        <v>52.0024</v>
      </c>
      <c r="H10" s="382" t="n">
        <v>29.7436666666666</v>
      </c>
    </row>
    <row r="11"/>
    <row r="12"/>
    <row r="13"/>
    <row r="14">
      <c r="A14" s="4"/>
      <c r="B14" s="4" t="s">
        <v>3588</v>
      </c>
      <c r="C14" s="4" t="s">
        <v>3589</v>
      </c>
      <c r="D14" s="4" t="s">
        <v>3590</v>
      </c>
      <c r="E14" s="4" t="s">
        <v>3591</v>
      </c>
      <c r="F14" s="4" t="s">
        <v>3592</v>
      </c>
    </row>
    <row r="15">
      <c r="B15" s="8" t="n">
        <v>1839490</v>
      </c>
      <c r="C15" s="8" t="n">
        <v>3764897.3</v>
      </c>
      <c r="D15" s="8" t="n">
        <v>7297256.9</v>
      </c>
      <c r="E15" s="8" t="n">
        <v>3033751</v>
      </c>
      <c r="F15" s="8" t="n">
        <v>4148065</v>
      </c>
    </row>
    <row r="16">
      <c r="B16" s="8" t="n">
        <v>1703989</v>
      </c>
      <c r="C16" s="8" t="n">
        <v>2970000</v>
      </c>
      <c r="D16" s="8" t="n">
        <v>3517053.4</v>
      </c>
      <c r="E16" s="8" t="n">
        <v>2344017</v>
      </c>
      <c r="F16" s="8" t="n">
        <v>1786726</v>
      </c>
    </row>
    <row r="17">
      <c r="B17" s="223" t="n">
        <v>4640647</v>
      </c>
      <c r="C17" s="223" t="n">
        <v>1665031.5</v>
      </c>
      <c r="D17" s="223" t="n">
        <v>4548051</v>
      </c>
      <c r="E17" s="223" t="n">
        <v>1082506</v>
      </c>
      <c r="F17" s="223" t="n">
        <v>583808</v>
      </c>
    </row>
    <row r="18">
      <c r="B18" s="223" t="n">
        <v>1247712</v>
      </c>
      <c r="C18" s="223" t="n">
        <v>2636628.1</v>
      </c>
      <c r="D18" s="223" t="n">
        <v>4744900</v>
      </c>
      <c r="E18" s="223" t="n">
        <v>2481008</v>
      </c>
      <c r="F18" s="223" t="n">
        <v>1191670</v>
      </c>
    </row>
    <row r="19">
      <c r="A19" s="223" t="s">
        <v>3593</v>
      </c>
      <c r="B19" s="3" t="n">
        <f>SUM(B15:B18)</f>
        <v>9431838</v>
      </c>
      <c r="C19" s="3" t="n">
        <f>SUM(C15:C18)</f>
        <v>11036556.9</v>
      </c>
      <c r="D19" s="3" t="n">
        <f>SUM(D15:D18)</f>
        <v>20107261.3</v>
      </c>
      <c r="E19" s="3" t="n">
        <f>SUM(E15:E18)</f>
        <v>8941282</v>
      </c>
      <c r="F19" s="3" t="n">
        <f>SUM(F15:F18)</f>
        <v>7710269</v>
      </c>
    </row>
    <row r="20">
      <c r="B20" s="344">
        <f>B19/10000</f>
      </c>
      <c r="C20" s="344">
        <f>C19/10000</f>
      </c>
      <c r="D20" s="344">
        <f>D19/10000</f>
      </c>
      <c r="E20" s="344">
        <f>E19/10000</f>
      </c>
      <c r="F20" s="344">
        <f>F19/10000</f>
      </c>
    </row>
    <row r="21">
      <c r="E21" s="16" t="s">
        <v>3594</v>
      </c>
      <c r="F21" s="10" t="s">
        <v>3595</v>
      </c>
      <c r="G21" s="16" t="s">
        <v>3596</v>
      </c>
      <c r="H21" s="16" t="s">
        <v>3597</v>
      </c>
      <c r="I21" s="16" t="s">
        <v>3598</v>
      </c>
    </row>
    <row r="22">
      <c r="D22" s="223" t="s">
        <v>3599</v>
      </c>
      <c r="E22" s="383" t="n">
        <v>89.9</v>
      </c>
      <c r="F22" s="383" t="n">
        <v>171.4629</v>
      </c>
      <c r="G22" s="383" t="n">
        <v>308.54</v>
      </c>
      <c r="H22" s="384" t="n">
        <v>156.0072</v>
      </c>
      <c r="I22" s="383" t="n">
        <v>89.231</v>
      </c>
    </row>
    <row r="23">
      <c r="D23" s="223" t="s">
        <v>3600</v>
      </c>
      <c r="E23" s="383" t="n">
        <v>45.7376</v>
      </c>
      <c r="F23" s="383" t="n">
        <v>110.3273</v>
      </c>
      <c r="G23" s="383" t="n">
        <v>332.61</v>
      </c>
      <c r="H23" s="384" t="n">
        <v>132.0143</v>
      </c>
      <c r="I23" s="383" t="n">
        <v>33.3595</v>
      </c>
    </row>
    <row r="24">
      <c r="D24" s="223" t="s">
        <v>3601</v>
      </c>
      <c r="E24" s="382" t="n">
        <v>10.6988</v>
      </c>
      <c r="F24" s="382" t="n">
        <v>18.5034</v>
      </c>
      <c r="G24" s="382" t="n">
        <v>87.5642</v>
      </c>
      <c r="H24" s="382" t="n">
        <v>50.058</v>
      </c>
      <c r="I24" s="382" t="n">
        <v>50.8962</v>
      </c>
    </row>
    <row r="25">
      <c r="C25" s="10"/>
      <c r="D25" s="10"/>
      <c r="E25" s="16" t="s">
        <v>3602</v>
      </c>
      <c r="F25" s="16" t="s">
        <v>3603</v>
      </c>
      <c r="G25" s="10" t="s">
        <v>3604</v>
      </c>
      <c r="H25" s="16" t="s">
        <v>3605</v>
      </c>
      <c r="I25" s="16" t="s">
        <v>3606</v>
      </c>
      <c r="J25" s="16" t="s">
        <v>3607</v>
      </c>
    </row>
    <row r="26">
      <c r="C26" s="6" t="s">
        <v>3608</v>
      </c>
      <c r="D26" s="7" t="s">
        <v>3609</v>
      </c>
      <c r="E26" s="17"/>
      <c r="F26" s="10" t="n">
        <v>1632921</v>
      </c>
      <c r="G26" s="6" t="n">
        <v>1883376</v>
      </c>
      <c r="H26" s="6" t="n">
        <v>432.08</v>
      </c>
      <c r="I26" s="6" t="n">
        <v>1904411</v>
      </c>
      <c r="J26" s="6" t="n">
        <v>870921</v>
      </c>
    </row>
    <row r="27">
      <c r="C27" s="10"/>
      <c r="D27" s="11" t="s">
        <v>3610</v>
      </c>
      <c r="E27" s="17"/>
      <c r="F27" s="10" t="n">
        <v>4407</v>
      </c>
      <c r="G27" s="6" t="n">
        <v>4986</v>
      </c>
      <c r="H27" s="16"/>
      <c r="I27" s="6" t="n">
        <v>2200</v>
      </c>
      <c r="J27" s="6" t="n">
        <v>16483</v>
      </c>
    </row>
    <row r="28">
      <c r="C28" s="6" t="s">
        <v>3611</v>
      </c>
      <c r="D28" s="7" t="s">
        <v>3612</v>
      </c>
      <c r="E28" s="17"/>
      <c r="F28" s="10" t="n">
        <v>457376</v>
      </c>
      <c r="G28" s="6" t="n">
        <v>1103273</v>
      </c>
      <c r="H28" s="6" t="n">
        <v>332.61</v>
      </c>
      <c r="I28" s="17" t="n">
        <v>1320143</v>
      </c>
      <c r="J28" s="6" t="n">
        <v>333595</v>
      </c>
    </row>
    <row r="29">
      <c r="C29" s="10"/>
      <c r="D29" s="11" t="s">
        <v>3613</v>
      </c>
      <c r="E29" s="17"/>
      <c r="F29" s="10" t="n">
        <v>1385</v>
      </c>
      <c r="G29" s="6" t="n">
        <v>2833</v>
      </c>
      <c r="H29" s="16"/>
      <c r="I29" s="17" t="n">
        <v>1000</v>
      </c>
      <c r="J29" s="6" t="n">
        <v>1681</v>
      </c>
    </row>
    <row r="30">
      <c r="C30" s="6" t="s">
        <v>3614</v>
      </c>
      <c r="D30" s="7" t="s">
        <v>3615</v>
      </c>
      <c r="E30" s="16"/>
      <c r="F30" s="10" t="n">
        <v>899000</v>
      </c>
      <c r="G30" s="6" t="n">
        <v>1714629</v>
      </c>
      <c r="H30" s="6" t="n">
        <v>308.54</v>
      </c>
      <c r="I30" s="17" t="n">
        <v>1560072</v>
      </c>
      <c r="J30" s="6" t="n">
        <v>892310</v>
      </c>
    </row>
    <row r="31">
      <c r="C31" s="10"/>
      <c r="D31" s="7" t="s">
        <v>3616</v>
      </c>
      <c r="E31" s="16"/>
      <c r="F31" s="10" t="n">
        <v>2230</v>
      </c>
      <c r="G31" s="6" t="n">
        <v>3017</v>
      </c>
      <c r="H31" s="17" t="n">
        <v>1100</v>
      </c>
      <c r="I31" s="17" t="n">
        <v>1000</v>
      </c>
      <c r="J31" s="6" t="n">
        <v>4301</v>
      </c>
    </row>
    <row r="32">
      <c r="C32" s="6" t="s">
        <v>3617</v>
      </c>
      <c r="D32" s="7" t="s">
        <v>3618</v>
      </c>
      <c r="E32" s="16"/>
      <c r="F32" s="10"/>
      <c r="G32" s="6"/>
      <c r="H32" s="6"/>
      <c r="I32" s="17"/>
      <c r="J32" s="6"/>
    </row>
    <row r="33">
      <c r="C33" s="10"/>
      <c r="D33" s="7" t="s">
        <v>3619</v>
      </c>
      <c r="E33" s="16"/>
      <c r="F33" s="10"/>
      <c r="G33" s="6"/>
      <c r="H33" s="17"/>
      <c r="I33" s="17"/>
      <c r="J33" s="6"/>
    </row>
    <row r="34">
      <c r="A34" s="3"/>
      <c r="B34" s="3"/>
      <c r="C34" s="3"/>
      <c r="D34" s="341"/>
      <c r="E34" s="385"/>
      <c r="F34" s="16" t="s">
        <v>3620</v>
      </c>
      <c r="G34" s="10" t="s">
        <v>3621</v>
      </c>
      <c r="H34" s="16" t="s">
        <v>3622</v>
      </c>
      <c r="I34" s="16" t="s">
        <v>3623</v>
      </c>
      <c r="J34" s="16" t="s">
        <v>3624</v>
      </c>
      <c r="K34" s="3"/>
      <c r="L34" s="3"/>
      <c r="M34" s="3"/>
      <c r="N34" s="3"/>
      <c r="O34" s="3"/>
      <c r="P34" s="3"/>
      <c r="Q34" s="3"/>
      <c r="R34" s="3"/>
    </row>
    <row r="35">
      <c r="A35" s="3"/>
      <c r="B35" s="3"/>
      <c r="C35" s="3"/>
      <c r="D35" s="223" t="s">
        <v>3625</v>
      </c>
      <c r="E35" s="386">
        <f>E36/10000</f>
      </c>
      <c r="F35" s="386">
        <f>F36/10000</f>
      </c>
      <c r="G35" s="386">
        <f>G36/10000</f>
      </c>
      <c r="H35" s="386">
        <f>H36/10000</f>
      </c>
      <c r="I35" s="386">
        <f>I36/10000</f>
      </c>
      <c r="J35" s="386">
        <f>J36/10000</f>
      </c>
      <c r="K35" s="3"/>
      <c r="L35" s="3"/>
      <c r="M35" s="3"/>
      <c r="N35" s="3"/>
      <c r="O35" s="3"/>
      <c r="P35" s="3"/>
      <c r="Q35" s="3"/>
      <c r="R35" s="3"/>
    </row>
    <row r="36">
      <c r="D36" s="223" t="s">
        <v>3626</v>
      </c>
      <c r="E36" s="3" t="n">
        <v>1612000</v>
      </c>
      <c r="F36" s="3" t="n">
        <v>74566</v>
      </c>
      <c r="G36" s="3" t="n">
        <v>118457</v>
      </c>
      <c r="H36" s="3" t="n">
        <v>302700</v>
      </c>
      <c r="I36" s="3" t="n">
        <v>173000</v>
      </c>
      <c r="J36" s="3" t="n">
        <v>229000</v>
      </c>
    </row>
    <row r="37">
      <c r="A37" s="3"/>
      <c r="B37" s="3"/>
      <c r="C37" s="3"/>
      <c r="D37" s="223" t="s">
        <v>3627</v>
      </c>
      <c r="E37" s="28" t="n">
        <v>1618027</v>
      </c>
      <c r="F37" s="23" t="n">
        <v>62527</v>
      </c>
      <c r="G37" s="23" t="n">
        <v>103865</v>
      </c>
      <c r="H37" s="23" t="n">
        <v>296200</v>
      </c>
      <c r="I37" s="23" t="n">
        <v>161000</v>
      </c>
      <c r="J37" s="24" t="n">
        <v>203029</v>
      </c>
      <c r="K37" s="3"/>
      <c r="L37" s="3"/>
      <c r="M37" s="3"/>
      <c r="N37" s="3"/>
      <c r="O37" s="3"/>
      <c r="P37" s="3"/>
      <c r="Q37" s="3"/>
      <c r="R37" s="3"/>
    </row>
    <row r="38">
      <c r="A38" s="3"/>
      <c r="B38" s="3"/>
      <c r="C38" s="3"/>
      <c r="D38" s="341"/>
      <c r="E38" s="17" t="s">
        <v>3628</v>
      </c>
      <c r="F38" s="16" t="s">
        <v>3629</v>
      </c>
      <c r="G38" s="10" t="s">
        <v>3630</v>
      </c>
      <c r="H38" s="16" t="s">
        <v>3631</v>
      </c>
      <c r="I38" s="16" t="s">
        <v>3632</v>
      </c>
      <c r="J38" s="16" t="s">
        <v>3633</v>
      </c>
      <c r="K38" s="3"/>
      <c r="L38" s="3"/>
      <c r="M38" s="3"/>
      <c r="N38" s="3"/>
      <c r="O38" s="3"/>
      <c r="P38" s="3"/>
      <c r="Q38" s="3"/>
      <c r="R38" s="3"/>
    </row>
    <row r="39">
      <c r="A39" s="3"/>
      <c r="B39" s="3"/>
      <c r="C39" s="3"/>
      <c r="D39" s="223" t="s">
        <v>3634</v>
      </c>
      <c r="E39" s="17" t="n">
        <f>E36-E37</f>
        <v>-6027</v>
      </c>
      <c r="F39" s="16" t="n">
        <f>F36-F37</f>
        <v>12039</v>
      </c>
      <c r="G39" s="16" t="n">
        <f>G36-G37</f>
        <v>14592</v>
      </c>
      <c r="H39" s="16" t="n">
        <f>H36-H37</f>
        <v>6500</v>
      </c>
      <c r="I39" s="16" t="n">
        <f>I36-I37</f>
        <v>12000</v>
      </c>
      <c r="J39" s="20" t="n">
        <f>J36-J37</f>
        <v>25971</v>
      </c>
      <c r="K39" s="3"/>
      <c r="L39" s="3"/>
      <c r="M39" s="3"/>
      <c r="N39" s="3"/>
      <c r="O39" s="3"/>
      <c r="P39" s="3"/>
      <c r="Q39" s="3"/>
      <c r="R39" s="3"/>
    </row>
    <row r="40">
      <c r="A40" s="3"/>
      <c r="B40" s="3"/>
      <c r="C40" s="3"/>
      <c r="D40" s="3"/>
      <c r="E40" s="14"/>
      <c r="F40" s="387"/>
      <c r="G40" s="14"/>
      <c r="H40" s="14"/>
      <c r="I40" s="14"/>
      <c r="J40" s="3"/>
      <c r="K40" s="3"/>
      <c r="L40" s="3"/>
      <c r="M40" s="3"/>
      <c r="N40" s="3"/>
      <c r="O40" s="3"/>
      <c r="P40" s="3"/>
      <c r="Q40" s="3"/>
      <c r="R40" s="3"/>
    </row>
    <row r="41">
      <c r="E41" s="16" t="s">
        <v>3635</v>
      </c>
      <c r="F41" s="10" t="s">
        <v>3636</v>
      </c>
      <c r="G41" s="16" t="s">
        <v>3637</v>
      </c>
      <c r="H41" s="16" t="s">
        <v>3638</v>
      </c>
      <c r="I41" s="16" t="s">
        <v>3639</v>
      </c>
    </row>
    <row r="42">
      <c r="D42" s="7" t="s">
        <v>3640</v>
      </c>
      <c r="E42" s="10" t="n">
        <v>2230</v>
      </c>
      <c r="F42" s="10" t="n">
        <v>3017</v>
      </c>
      <c r="G42" s="17" t="n">
        <v>1100</v>
      </c>
      <c r="H42" s="17" t="n">
        <v>1000</v>
      </c>
      <c r="I42" s="6" t="n">
        <v>4301</v>
      </c>
      <c r="J42" s="6" t="n">
        <v>4301</v>
      </c>
    </row>
    <row r="43">
      <c r="D43" s="19"/>
      <c r="E43" s="16" t="s">
        <v>3641</v>
      </c>
      <c r="F43" s="10" t="s">
        <v>3642</v>
      </c>
      <c r="G43" s="16" t="s">
        <v>3643</v>
      </c>
      <c r="H43" s="16" t="s">
        <v>3644</v>
      </c>
      <c r="I43" s="16" t="s">
        <v>3645</v>
      </c>
      <c r="J43" s="20" t="n">
        <v>224620</v>
      </c>
    </row>
    <row r="44">
      <c r="D44" s="19" t="s">
        <v>3646</v>
      </c>
      <c r="E44" s="384" t="n">
        <v>7.92</v>
      </c>
      <c r="F44" s="384" t="n">
        <v>11.4715</v>
      </c>
      <c r="G44" s="384" t="n">
        <v>30.13</v>
      </c>
      <c r="H44" s="384" t="n">
        <v>17.3</v>
      </c>
      <c r="I44" s="384" t="n">
        <v>22.462</v>
      </c>
    </row>
    <row r="45"/>
    <row r="46"/>
    <row r="47"/>
    <row r="48">
      <c r="B48" s="3"/>
      <c r="C48" s="16" t="s">
        <v>3647</v>
      </c>
      <c r="D48" s="10" t="s">
        <v>3648</v>
      </c>
      <c r="E48" s="16" t="s">
        <v>3649</v>
      </c>
      <c r="F48" s="16" t="s">
        <v>3650</v>
      </c>
      <c r="G48" s="16" t="s">
        <v>3651</v>
      </c>
      <c r="H48" s="3"/>
      <c r="I48" s="16" t="s">
        <v>3652</v>
      </c>
      <c r="J48" s="10" t="s">
        <v>3653</v>
      </c>
      <c r="K48" s="16" t="s">
        <v>3654</v>
      </c>
      <c r="L48" s="16" t="s">
        <v>3655</v>
      </c>
      <c r="M48" s="16" t="s">
        <v>3656</v>
      </c>
    </row>
    <row r="49">
      <c r="B49" s="341" t="s">
        <v>3657</v>
      </c>
      <c r="C49" s="383" t="n">
        <v>89.9</v>
      </c>
      <c r="D49" s="383" t="n">
        <v>171.4629</v>
      </c>
      <c r="E49" s="383" t="n">
        <v>308.54</v>
      </c>
      <c r="F49" s="384" t="n">
        <v>156.0072</v>
      </c>
      <c r="G49" s="383" t="n">
        <v>89.231</v>
      </c>
      <c r="H49" s="341" t="s">
        <v>3658</v>
      </c>
      <c r="I49" s="383" t="n">
        <v>89.9</v>
      </c>
      <c r="J49" s="383" t="n">
        <v>171.4629</v>
      </c>
      <c r="K49" s="383" t="n">
        <v>308.54</v>
      </c>
      <c r="L49" s="384" t="n">
        <v>156.0072</v>
      </c>
      <c r="M49" s="383" t="n">
        <v>89.231</v>
      </c>
    </row>
    <row r="50">
      <c r="B50" s="341" t="s">
        <v>3659</v>
      </c>
      <c r="C50" s="383" t="n">
        <v>45.7376</v>
      </c>
      <c r="D50" s="383" t="n">
        <v>110.3273</v>
      </c>
      <c r="E50" s="383" t="n">
        <v>332.61</v>
      </c>
      <c r="F50" s="384" t="n">
        <v>132.0143</v>
      </c>
      <c r="G50" s="383" t="n">
        <v>33.3595</v>
      </c>
      <c r="H50" s="341" t="s">
        <v>3660</v>
      </c>
      <c r="I50" s="383" t="n">
        <v>45.7376</v>
      </c>
      <c r="J50" s="383" t="n">
        <v>110.3273</v>
      </c>
      <c r="K50" s="383" t="n">
        <v>332.61</v>
      </c>
      <c r="L50" s="384" t="n">
        <v>132.0143</v>
      </c>
      <c r="M50" s="383" t="n">
        <v>33.3595</v>
      </c>
    </row>
    <row r="51">
      <c r="B51" s="341" t="s">
        <v>3661</v>
      </c>
      <c r="C51" s="382" t="n">
        <v>10.6988</v>
      </c>
      <c r="D51" s="382" t="n">
        <v>18.5034</v>
      </c>
      <c r="E51" s="382" t="n">
        <v>87.5642</v>
      </c>
      <c r="F51" s="382" t="n">
        <v>50.058</v>
      </c>
      <c r="G51" s="382" t="n">
        <v>50.8962</v>
      </c>
      <c r="H51" s="341" t="s">
        <v>3662</v>
      </c>
      <c r="I51" s="382" t="n">
        <v>10.6988</v>
      </c>
      <c r="J51" s="382" t="n">
        <v>18.5034</v>
      </c>
      <c r="K51" s="382" t="n">
        <v>87.5642</v>
      </c>
      <c r="L51" s="382" t="n">
        <v>50.058</v>
      </c>
      <c r="M51" s="382" t="n">
        <v>50.8962</v>
      </c>
    </row>
    <row r="52"/>
    <row r="53">
      <c r="B53" s="3"/>
      <c r="C53" s="16" t="s">
        <v>3663</v>
      </c>
      <c r="D53" s="10" t="s">
        <v>3664</v>
      </c>
      <c r="E53" s="16" t="s">
        <v>3665</v>
      </c>
      <c r="F53" s="16" t="s">
        <v>3666</v>
      </c>
      <c r="G53" s="16" t="s">
        <v>3667</v>
      </c>
    </row>
    <row r="54">
      <c r="B54" s="223" t="s">
        <v>3668</v>
      </c>
      <c r="C54" s="383" t="n">
        <v>89.9</v>
      </c>
      <c r="D54" s="383" t="n">
        <v>171.4629</v>
      </c>
      <c r="E54" s="383" t="n">
        <v>308.54</v>
      </c>
      <c r="F54" s="384" t="n">
        <v>156.0072</v>
      </c>
      <c r="G54" s="383" t="n">
        <v>89.231</v>
      </c>
    </row>
    <row r="55">
      <c r="B55" s="223" t="s">
        <v>3669</v>
      </c>
      <c r="C55" s="383" t="n">
        <v>45.7376</v>
      </c>
      <c r="D55" s="383" t="n">
        <v>110.3273</v>
      </c>
      <c r="E55" s="383" t="n">
        <v>332.61</v>
      </c>
      <c r="F55" s="384" t="n">
        <v>132.0143</v>
      </c>
      <c r="G55" s="383" t="n">
        <v>33.3595</v>
      </c>
    </row>
    <row r="56">
      <c r="B56" s="341" t="s">
        <v>3670</v>
      </c>
      <c r="C56" s="382" t="n">
        <v>10.6988</v>
      </c>
      <c r="D56" s="382" t="n">
        <v>18.5034</v>
      </c>
      <c r="E56" s="382" t="n">
        <v>87.5642</v>
      </c>
      <c r="F56" s="382" t="n">
        <v>50.058</v>
      </c>
      <c r="G56" s="382" t="n">
        <v>50.8962</v>
      </c>
    </row>
    <row r="57"/>
    <row r="58">
      <c r="C58" s="382" t="n">
        <f>C49-C50</f>
        <v>44.1624</v>
      </c>
      <c r="D58" s="382" t="n">
        <f>D49-D50</f>
        <v>61.1356</v>
      </c>
      <c r="E58" s="382" t="n">
        <f>E49-E50</f>
        <v>-24.07</v>
      </c>
      <c r="F58" s="382" t="n">
        <f>F49-F50</f>
        <v>23.9929</v>
      </c>
      <c r="G58" s="382" t="n">
        <f>G49-G50</f>
        <v>55.8715</v>
      </c>
    </row>
    <row r="59">
      <c r="C59" s="382" t="n">
        <f>C49-C51</f>
        <v>79.2012</v>
      </c>
      <c r="D59" s="382" t="n">
        <f>D49-D51</f>
        <v>152.9595</v>
      </c>
      <c r="E59" s="382" t="n">
        <f>E49-E51</f>
        <v>220.9758</v>
      </c>
      <c r="F59" s="382" t="n">
        <f>F49-F51</f>
        <v>105.9492</v>
      </c>
      <c r="G59" s="382" t="n">
        <f>G49-G51</f>
        <v>38.3348</v>
      </c>
    </row>
    <row r="60">
      <c r="C60" s="16" t="s">
        <v>3671</v>
      </c>
      <c r="D60" s="10" t="s">
        <v>3672</v>
      </c>
      <c r="E60" s="16" t="s">
        <v>3673</v>
      </c>
      <c r="F60" s="16" t="s">
        <v>3674</v>
      </c>
      <c r="G60" s="16" t="s">
        <v>3675</v>
      </c>
      <c r="I60" s="3"/>
      <c r="J60" s="3" t="s">
        <v>3676</v>
      </c>
      <c r="K60" s="3" t="s">
        <v>3677</v>
      </c>
    </row>
    <row r="61">
      <c r="B61" s="341" t="s">
        <v>3678</v>
      </c>
      <c r="C61" s="342">
        <f>C58/C49*100%</f>
      </c>
      <c r="D61" s="342">
        <f>D58/D49*100%</f>
      </c>
      <c r="E61" s="342">
        <f>E58/E49*100%</f>
      </c>
      <c r="F61" s="342">
        <f>F58/F49*100%</f>
      </c>
      <c r="G61" s="342">
        <f>G58/G49*100%</f>
      </c>
      <c r="I61" s="3" t="s">
        <v>3679</v>
      </c>
      <c r="J61" s="342" t="n">
        <v>0.49123915461624</v>
      </c>
      <c r="K61" s="342" t="n">
        <v>0.880992213570634</v>
      </c>
    </row>
    <row r="62">
      <c r="B62" s="223" t="s">
        <v>3680</v>
      </c>
      <c r="C62" s="342">
        <f>C59/C49*100%</f>
      </c>
      <c r="D62" s="342">
        <f>D59/D49*100%</f>
      </c>
      <c r="E62" s="342">
        <f>E59/E49*100%</f>
      </c>
      <c r="F62" s="342">
        <f>F59/F49*100%</f>
      </c>
      <c r="G62" s="342">
        <f>G59/G49*100%</f>
      </c>
      <c r="I62" s="3" t="s">
        <v>3681</v>
      </c>
      <c r="J62" s="342" t="n">
        <v>0.356552933608378</v>
      </c>
      <c r="K62" s="342" t="n">
        <v>0.892085109956731</v>
      </c>
    </row>
    <row r="63">
      <c r="I63" s="3" t="s">
        <v>3682</v>
      </c>
      <c r="J63" s="342" t="n">
        <v>-0.078012575354897</v>
      </c>
      <c r="K63" s="342" t="n">
        <v>0.716198223893174</v>
      </c>
    </row>
    <row r="64">
      <c r="B64" s="3"/>
      <c r="C64" s="3" t="s">
        <v>3683</v>
      </c>
      <c r="D64" s="3" t="s">
        <v>3684</v>
      </c>
      <c r="E64" s="3" t="s">
        <v>3685</v>
      </c>
      <c r="F64" s="3" t="s">
        <v>3686</v>
      </c>
      <c r="G64" s="3" t="s">
        <v>3687</v>
      </c>
      <c r="I64" s="3" t="s">
        <v>3688</v>
      </c>
      <c r="J64" s="342" t="n">
        <v>0.153793542862124</v>
      </c>
      <c r="K64" s="342" t="n">
        <v>0.679130193991047</v>
      </c>
    </row>
    <row r="65">
      <c r="B65" s="3" t="s">
        <v>3689</v>
      </c>
      <c r="C65" s="3" t="n">
        <v>0.49123915461624</v>
      </c>
      <c r="D65" s="3" t="n">
        <v>0.356552933608378</v>
      </c>
      <c r="E65" s="3" t="n">
        <v>-0.078012575354897</v>
      </c>
      <c r="F65" s="3" t="n">
        <v>0.153793542862124</v>
      </c>
      <c r="G65" s="3" t="n">
        <v>0.626144501350428</v>
      </c>
      <c r="I65" s="3" t="s">
        <v>3690</v>
      </c>
      <c r="J65" s="342" t="n">
        <v>0.626144501350428</v>
      </c>
      <c r="K65" s="342" t="n">
        <v>0.429613026862862</v>
      </c>
    </row>
    <row r="66">
      <c r="B66" s="3" t="s">
        <v>3691</v>
      </c>
      <c r="C66" s="3" t="n">
        <v>0.880992213570634</v>
      </c>
      <c r="D66" s="3" t="n">
        <v>0.892085109956731</v>
      </c>
      <c r="E66" s="3" t="n">
        <v>0.716198223893174</v>
      </c>
      <c r="F66" s="3" t="n">
        <v>0.679130193991047</v>
      </c>
      <c r="G66" s="3" t="n">
        <v>0.429613026862862</v>
      </c>
    </row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</sheetData>
  <mergeCells count="4">
    <mergeCell ref="C26:C27"/>
    <mergeCell ref="C28:C29"/>
    <mergeCell ref="C30:C31"/>
    <mergeCell ref="C32:C33"/>
  </mergeCells>
  <pageMargins left="0.7" right="0.7" top="0.75" bottom="0.75" header="0.3" footer="0.3"/>
  <drawing r:id="rId1"/>
</worksheet>
</file>